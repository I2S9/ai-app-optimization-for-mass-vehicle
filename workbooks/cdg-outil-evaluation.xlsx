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0"/>
  <workbookPr codeName="ThisWorkbook"/>
  <mc:AlternateContent xmlns:mc="http://schemas.openxmlformats.org/markup-compatibility/2006">
    <mc:Choice Requires="x15">
      <x15ac:absPath xmlns:x15ac="http://schemas.microsoft.com/office/spreadsheetml/2010/11/ac" url="C:\User\C020905\Documents\0-Poste_de_travail\1-Masse\1-SPC-1\9 HEV\ZCDG HEV\"/>
    </mc:Choice>
  </mc:AlternateContent>
  <xr:revisionPtr revIDLastSave="0" documentId="8_{0CCDE13D-60AA-48F5-BDC4-2BEF93CB0C28}" xr6:coauthVersionLast="47" xr6:coauthVersionMax="47" xr10:uidLastSave="{00000000-0000-0000-0000-000000000000}"/>
  <bookViews>
    <workbookView xWindow="-108" yWindow="-18108" windowWidth="29016" windowHeight="17496" tabRatio="772" firstSheet="1" activeTab="1" xr2:uid="{00000000-000D-0000-FFFF-FFFF00000000}"/>
  </bookViews>
  <sheets>
    <sheet name="Updates" sheetId="14" r:id="rId1"/>
    <sheet name="INPUT1 - Veh Geometry" sheetId="1" r:id="rId2"/>
    <sheet name="INPUT2 - Veh Sub-Syst Mass" sheetId="3" r:id="rId3"/>
    <sheet name="UNSPRUNG Mass estimation" sheetId="9" r:id="rId4"/>
    <sheet name="OUTPUT - Mass &amp; CoG" sheetId="7" r:id="rId5"/>
    <sheet name="Vide" sheetId="11" r:id="rId6"/>
    <sheet name="DEC5 &lt;--&gt; A2MAC1 Dictionary" sheetId="12" r:id="rId7"/>
    <sheet name="A2MAC1 MICV Std bookmark" sheetId="13" r:id="rId8"/>
    <sheet name="V2.0 update follow-up" sheetId="10" r:id="rId9"/>
  </sheets>
  <externalReferences>
    <externalReference r:id="rId10"/>
    <externalReference r:id="rId11"/>
    <externalReference r:id="rId12"/>
    <externalReference r:id="rId13"/>
  </externalReferences>
  <definedNames>
    <definedName name="__123Graph_LBL_A" localSheetId="2" hidden="1">#REF!</definedName>
    <definedName name="__123Graph_LBL_A" hidden="1">#REF!</definedName>
    <definedName name="__123Graph_X" localSheetId="2" hidden="1">#REF!</definedName>
    <definedName name="__123Graph_X" hidden="1">#REF!</definedName>
    <definedName name="__aa2" hidden="1">{"'ID(2)'!$E$1:$N$4"}</definedName>
    <definedName name="__cp021999" localSheetId="2" hidden="1">#REF!</definedName>
    <definedName name="__cp021999" hidden="1">#REF!</definedName>
    <definedName name="__cp031997" localSheetId="2" hidden="1">#REF!</definedName>
    <definedName name="__cp031997" hidden="1">#REF!</definedName>
    <definedName name="__CP071997" localSheetId="2" hidden="1">#REF!</definedName>
    <definedName name="__CP071997" hidden="1">#REF!</definedName>
    <definedName name="_10__123Graph_LBL_AG_FRAM2H" localSheetId="2" hidden="1">#REF!</definedName>
    <definedName name="_10__123Graph_LBL_AG_FRAM2H" hidden="1">#REF!</definedName>
    <definedName name="_15_0__123Graph_LBL_AG_FRA" localSheetId="2" hidden="1">#REF!</definedName>
    <definedName name="_15_0__123Graph_LBL_AG_FRA" hidden="1">#REF!</definedName>
    <definedName name="_16_0__123Graph_LBL_AG_FRA" localSheetId="2" hidden="1">#REF!</definedName>
    <definedName name="_16_0__123Graph_LBL_AG_FRA" hidden="1">#REF!</definedName>
    <definedName name="_17_0__123Graph_LBL_AG_FRA" localSheetId="2" hidden="1">#REF!</definedName>
    <definedName name="_17_0__123Graph_LBL_AG_FRA" hidden="1">#REF!</definedName>
    <definedName name="_18_0__123Graph_LBL_AG_FRA" localSheetId="2" hidden="1">#REF!</definedName>
    <definedName name="_18_0__123Graph_LBL_AG_FRA" hidden="1">#REF!</definedName>
    <definedName name="_2__123Graph_LBL_AG_E15BM1" localSheetId="2" hidden="1">#REF!</definedName>
    <definedName name="_2__123Graph_LBL_AG_E15BM1" hidden="1">#REF!</definedName>
    <definedName name="_4__123Graph_LBL_AG_E15M2H" localSheetId="2" hidden="1">#REF!</definedName>
    <definedName name="_4__123Graph_LBL_AG_E15M2H" hidden="1">#REF!</definedName>
    <definedName name="_6_123Graph_LBL_AG_FRA" localSheetId="2" hidden="1">#REF!</definedName>
    <definedName name="_6_123Graph_LBL_AG_FRA" hidden="1">#REF!</definedName>
    <definedName name="_8__123Graph_LBL_AG_FRABM1" localSheetId="2" hidden="1">#REF!</definedName>
    <definedName name="_8__123Graph_LBL_AG_FRABM1" hidden="1">#REF!</definedName>
    <definedName name="_ab2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_ad2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_CP071997" localSheetId="2" hidden="1">#REF!</definedName>
    <definedName name="_CP071997" hidden="1">#REF!</definedName>
    <definedName name="_Fill" localSheetId="2" hidden="1">#REF!</definedName>
    <definedName name="_Fill" hidden="1">#REF!</definedName>
    <definedName name="_xlnm._FilterDatabase" localSheetId="2" hidden="1">'INPUT2 - Veh Sub-Syst Mass'!$Y$5:$AA$244</definedName>
    <definedName name="_Key1" localSheetId="2" hidden="1">#REF!</definedName>
    <definedName name="_Key1" hidden="1">#REF!</definedName>
    <definedName name="_no2" hidden="1">255</definedName>
    <definedName name="_Order1" localSheetId="1" hidden="1">0</definedName>
    <definedName name="_Order1" hidden="1">255</definedName>
    <definedName name="_Order2" localSheetId="1" hidden="1">0</definedName>
    <definedName name="_Order2" hidden="1">255</definedName>
    <definedName name="_RXA45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_Sort" localSheetId="2" hidden="1">#REF!</definedName>
    <definedName name="_Sort" hidden="1">#REF!</definedName>
    <definedName name="a" hidden="1">255</definedName>
    <definedName name="a.MARQUE" localSheetId="2" hidden="1">#REF!</definedName>
    <definedName name="a.MARQUE" hidden="1">#REF!</definedName>
    <definedName name="aa" hidden="1">{"'ID(2)'!$E$1:$N$4"}</definedName>
    <definedName name="aa_bis" hidden="1">{"'ID(2)'!$E$1:$N$4"}</definedName>
    <definedName name="aaaaa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b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b_bis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bb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c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d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e" hidden="1">{"'ID(2)'!$E$1:$N$4"}</definedName>
    <definedName name="af" hidden="1">{"'ID(2)'!$E$1:$N$4"}</definedName>
    <definedName name="ag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h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j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lrere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lrere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lrere2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zerty" localSheetId="2" hidden="1">#REF!</definedName>
    <definedName name="azerty" hidden="1">#REF!</definedName>
    <definedName name="b" localSheetId="2" hidden="1">#REF!</definedName>
    <definedName name="b" hidden="1">#REF!</definedName>
    <definedName name="bob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Cal" localSheetId="2" hidden="1">#REF!</definedName>
    <definedName name="Cal" hidden="1">#REF!</definedName>
    <definedName name="cc" localSheetId="2" hidden="1">#REF!</definedName>
    <definedName name="cc" hidden="1">#REF!</definedName>
    <definedName name="cd" localSheetId="2" hidden="1">#REF!</definedName>
    <definedName name="cd" hidden="1">#REF!</definedName>
    <definedName name="cv" localSheetId="2" hidden="1">#REF!</definedName>
    <definedName name="cv" hidden="1">#REF!</definedName>
    <definedName name="cw" localSheetId="2" hidden="1">#REF!</definedName>
    <definedName name="cw" hidden="1">#REF!</definedName>
    <definedName name="DAI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dd" hidden="1">{"'ID(2)'!$E$1:$N$4"}</definedName>
    <definedName name="dec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dg" localSheetId="2" hidden="1">#REF!</definedName>
    <definedName name="dg" hidden="1">#REF!</definedName>
    <definedName name="dwf" hidden="1">{#VALUE!,#N/A,TRUE,0;#N/A,#N/A,TRUE,0;#N/A,#N/A,TRUE,0;#N/A,#N/A,TRUE,0;#N/A,#N/A,TRUE,0;#N/A,#N/A,TRUE,0;#N/A,#N/A,TRUE,0;#N/A,#N/A,TRUE,0;#N/A,#N/A,TRUE,0;#N/A,#N/A,TRUE,0;#N/A,#N/A,TRUE,0;#N/A,#N/A,TRUE,0;#N/A,#N/A,TRUE,0}</definedName>
    <definedName name="E" localSheetId="2">'INPUT2 - Veh Sub-Syst Mass'!$B$262</definedName>
    <definedName name="effacer" localSheetId="2" hidden="1">'[1]PERIMETRE A76'!#REF!</definedName>
    <definedName name="effacer" hidden="1">'[1]PERIMETRE A76'!#REF!</definedName>
    <definedName name="effacer10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2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3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4" hidden="1">{"'ID(2)'!$E$1:$N$4"}</definedName>
    <definedName name="effacer15" hidden="1">{"'ID(2)'!$E$1:$N$4"}</definedName>
    <definedName name="effacer16" localSheetId="2" hidden="1">#REF!</definedName>
    <definedName name="effacer16" hidden="1">#REF!</definedName>
    <definedName name="effacer17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8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9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2" localSheetId="2" hidden="1">#REF!</definedName>
    <definedName name="effacer2" hidden="1">#REF!</definedName>
    <definedName name="effacer20" localSheetId="2" hidden="1">#REF!</definedName>
    <definedName name="effacer20" hidden="1">#REF!</definedName>
    <definedName name="effacer21" localSheetId="2" hidden="1">#REF!</definedName>
    <definedName name="effacer21" hidden="1">#REF!</definedName>
    <definedName name="effacer22" localSheetId="2" hidden="1">#REF!</definedName>
    <definedName name="effacer22" hidden="1">#REF!</definedName>
    <definedName name="effacer3" localSheetId="2" hidden="1">#REF!</definedName>
    <definedName name="effacer3" hidden="1">#REF!</definedName>
    <definedName name="effacer4" hidden="1">{"'ID(2)'!$E$1:$N$4"}</definedName>
    <definedName name="effacer5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6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7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8" hidden="1">{"'ID(2)'!$E$1:$N$4"}</definedName>
    <definedName name="effacer9" hidden="1">{"'ID(2)'!$E$1:$N$4"}</definedName>
    <definedName name="ert" localSheetId="2" hidden="1">#REF!</definedName>
    <definedName name="ert" hidden="1">#REF!</definedName>
    <definedName name="ESP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ssai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ssai2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et" localSheetId="2" hidden="1">#REF!</definedName>
    <definedName name="et" hidden="1">#REF!</definedName>
    <definedName name="f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fdgdg" localSheetId="2" hidden="1">#REF!</definedName>
    <definedName name="fdgdg" hidden="1">#REF!</definedName>
    <definedName name="fevrier1999" localSheetId="2" hidden="1">#REF!</definedName>
    <definedName name="fevrier1999" hidden="1">#REF!</definedName>
    <definedName name="fgdfgdf" localSheetId="2" hidden="1">#REF!</definedName>
    <definedName name="fgdfgdf" hidden="1">#REF!</definedName>
    <definedName name="fgdgdf1" localSheetId="2" hidden="1">#REF!</definedName>
    <definedName name="fgdgdf1" hidden="1">#REF!</definedName>
    <definedName name="fghdfhdfhdgh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g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gdfgdfgd" localSheetId="2" hidden="1">#REF!</definedName>
    <definedName name="gdfgdfgd" hidden="1">#REF!</definedName>
    <definedName name="GHVN" localSheetId="2" hidden="1">[2]CP121999!#REF!</definedName>
    <definedName name="GHVN" hidden="1">[2]CP121999!#REF!</definedName>
    <definedName name="Graph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HTML_CodePage" hidden="1">1252</definedName>
    <definedName name="HTML_Control" hidden="1">{"'ID(2)'!$E$1:$N$4"}</definedName>
    <definedName name="HTML_Description" hidden="1">""</definedName>
    <definedName name="HTML_Email" hidden="1">""</definedName>
    <definedName name="HTML_Header" hidden="1">"ID(2)"</definedName>
    <definedName name="HTML_LastUpdate" hidden="1">"26/11/1999"</definedName>
    <definedName name="HTML_LineAfter" hidden="1">FALSE</definedName>
    <definedName name="HTML_LineBefore" hidden="1">FALSE</definedName>
    <definedName name="HTML_Name" hidden="1">"PSA"</definedName>
    <definedName name="HTML_OBDlg2" hidden="1">TRUE</definedName>
    <definedName name="HTML_OBDlg4" hidden="1">TRUE</definedName>
    <definedName name="HTML_OS" hidden="1">0</definedName>
    <definedName name="HTML_PathFile" hidden="1">"C:\USER\Europstat\essai\MonHTML.htm"</definedName>
    <definedName name="HTML_Title" hidden="1">"Tdb_V2"</definedName>
    <definedName name="JC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jj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m" hidden="1">{"'ID(2)'!$E$1:$N$4"}</definedName>
    <definedName name="Maintenanc" hidden="1">{"'ID(2)'!$E$1:$N$4"}</definedName>
    <definedName name="MAR" localSheetId="2" hidden="1">#REF!</definedName>
    <definedName name="MAR" hidden="1">#REF!</definedName>
    <definedName name="merde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nb" hidden="1">{"'ID(2)'!$E$1:$N$4"}</definedName>
    <definedName name="no" localSheetId="2" hidden="1">#REF!</definedName>
    <definedName name="no" hidden="1">#REF!</definedName>
    <definedName name="oigm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OUI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p" hidden="1">0</definedName>
    <definedName name="philippe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pns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PopCache_EGO_BULKLOAD_INTF_C_INTF_ATTR13" hidden="1">[3]PopCache!$A$1:$A$7</definedName>
    <definedName name="PopCache_EGO_BULKLOAD_INTF_C_INTF_ATTR18" hidden="1">[3]PopCache!$B$1:$B$2</definedName>
    <definedName name="prebudget" localSheetId="2" hidden="1">#REF!</definedName>
    <definedName name="prebudget" hidden="1">#REF!</definedName>
    <definedName name="prebudget1" localSheetId="2" hidden="1">#REF!</definedName>
    <definedName name="prebudget1" hidden="1">#REF!</definedName>
    <definedName name="prebuget" localSheetId="2" hidden="1">#REF!</definedName>
    <definedName name="prebuget" hidden="1">#REF!</definedName>
    <definedName name="PROJETS" hidden="1">'[4]Listes modules'!$A$94:$A$103</definedName>
    <definedName name="qfd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qqq" localSheetId="2" hidden="1">#REF!</definedName>
    <definedName name="qqq" hidden="1">#REF!</definedName>
    <definedName name="qqqqq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qsdf" hidden="1">#N/A</definedName>
    <definedName name="quest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rili" localSheetId="2" hidden="1">#REF!</definedName>
    <definedName name="rili" hidden="1">#REF!</definedName>
    <definedName name="roro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rqsrgsdgqsd" hidden="1">{"'ID(2)'!$E$1:$N$4"}</definedName>
    <definedName name="s" localSheetId="2" hidden="1">#REF!</definedName>
    <definedName name="s" hidden="1">#REF!</definedName>
    <definedName name="SAPBEXrevision" hidden="1">3</definedName>
    <definedName name="SAPBEXsysID" hidden="1">"PVN"</definedName>
    <definedName name="SAPBEXwbID" hidden="1">"48IGJVK7IHSEW0FQ5RACN1NOR"</definedName>
    <definedName name="sdf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sdqf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sert" hidden="1">{0}</definedName>
    <definedName name="solver_lin" hidden="1">0</definedName>
    <definedName name="solver_num" hidden="1">0</definedName>
    <definedName name="solver_typ" hidden="1">3</definedName>
    <definedName name="solver_val" hidden="1">0.02</definedName>
    <definedName name="SS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sssss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stock2" localSheetId="2" hidden="1">#REF!</definedName>
    <definedName name="stock2" hidden="1">#REF!</definedName>
    <definedName name="t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TEST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TEST2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TEST3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toto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totoA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uu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wrn.Bilan._.mensuel._.X5.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wrn.Bilan._.mensuel._.X5.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wrn.total.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wrn.UT1." hidden="1">{#N/A,#N/A,FALSE,"UT-36100"}</definedName>
    <definedName name="wrn.UT2." hidden="1">{#N/A,#N/A,FALSE,"UT-36100 (2)"}</definedName>
    <definedName name="wrn.UT3." hidden="1">{#N/A,#N/A,FALSE,"UT-36400-36600-36700-36800-36A0"}</definedName>
    <definedName name="www" localSheetId="2" hidden="1">#REF!</definedName>
    <definedName name="www" hidden="1">#REF!</definedName>
    <definedName name="x" hidden="1">255</definedName>
    <definedName name="xc" localSheetId="2" hidden="1">#REF!</definedName>
    <definedName name="xc" hidden="1">#REF!</definedName>
    <definedName name="xcv" hidden="1">{0,0,0,0;0,0,0,0;0,0,0,0;0,0,0,0;0,0,0,0;0,0,"",0;0,0,0,0;0,0,0,0;0,0,0,0;0,0,0,0;0,0,0,0;0,0,0,0;0,0,0,0}</definedName>
    <definedName name="XX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s" localSheetId="2" hidden="1">#REF!</definedName>
    <definedName name="xxs" hidden="1">#REF!</definedName>
    <definedName name="xxx" localSheetId="2" hidden="1">#REF!</definedName>
    <definedName name="xxx" hidden="1">#REF!</definedName>
    <definedName name="XXXX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X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xx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XXX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XXXX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XXXXXX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y" hidden="1">255</definedName>
    <definedName name="Z_4A92CE63_6599_443B_960D_5B91D3A4B48D_.wvu.FilterData" localSheetId="2" hidden="1">#REF!</definedName>
    <definedName name="Z_4A92CE63_6599_443B_960D_5B91D3A4B48D_.wvu.FilterData" hidden="1">#REF!</definedName>
    <definedName name="Z_4A92CE63_6599_443B_960D_5B91D3A4B48D_.wvu.PrintArea" localSheetId="2" hidden="1">#REF!</definedName>
    <definedName name="Z_4A92CE63_6599_443B_960D_5B91D3A4B48D_.wvu.PrintArea" hidden="1">#REF!</definedName>
  </definedName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92" i="3" l="1"/>
  <c r="L46" i="3"/>
  <c r="L45" i="3"/>
  <c r="O46" i="3" l="1"/>
  <c r="O45" i="3"/>
  <c r="O43" i="3"/>
  <c r="O42" i="3"/>
  <c r="L41" i="3"/>
  <c r="H35" i="9"/>
  <c r="L215" i="3"/>
  <c r="L220" i="3"/>
  <c r="L172" i="3"/>
  <c r="L135" i="3"/>
  <c r="L109" i="3"/>
  <c r="L75" i="3"/>
  <c r="L6" i="3"/>
  <c r="L31" i="3"/>
  <c r="L68" i="3" l="1"/>
  <c r="L205" i="3"/>
  <c r="L181" i="3"/>
  <c r="L161" i="3"/>
  <c r="L143" i="3"/>
  <c r="L120" i="3"/>
  <c r="L117" i="3"/>
  <c r="L90" i="3"/>
  <c r="L86" i="3"/>
  <c r="L81" i="3"/>
  <c r="L189" i="3"/>
  <c r="L188" i="3"/>
  <c r="L187" i="3" s="1"/>
  <c r="L199" i="3"/>
  <c r="L197" i="3" s="1"/>
  <c r="L190" i="3"/>
  <c r="L168" i="3"/>
  <c r="L165" i="3" s="1"/>
  <c r="L156" i="3"/>
  <c r="L152" i="3"/>
  <c r="L113" i="3"/>
  <c r="L99" i="3"/>
  <c r="L50" i="3"/>
  <c r="H81" i="1"/>
  <c r="H68" i="1"/>
  <c r="J68" i="1" s="1"/>
  <c r="I68" i="1" s="1"/>
  <c r="J67" i="1"/>
  <c r="I67" i="1" s="1"/>
  <c r="H67" i="1"/>
  <c r="H66" i="1"/>
  <c r="J66" i="1" s="1"/>
  <c r="L147" i="3" l="1"/>
  <c r="L184" i="3"/>
  <c r="J69" i="1"/>
  <c r="I66" i="1"/>
  <c r="I69" i="1" s="1"/>
  <c r="Q22" i="3" l="1"/>
  <c r="P22" i="3"/>
  <c r="O22" i="3"/>
  <c r="O141" i="3"/>
  <c r="Q24" i="3" l="1"/>
  <c r="P24" i="3"/>
  <c r="O24" i="3"/>
  <c r="Q15" i="3"/>
  <c r="P15" i="3"/>
  <c r="O15" i="3"/>
  <c r="Q16" i="3"/>
  <c r="O16" i="3"/>
  <c r="P16" i="3"/>
  <c r="G116" i="1" l="1"/>
  <c r="J168" i="1" l="1"/>
  <c r="I168" i="1"/>
  <c r="H168" i="1"/>
  <c r="AB6" i="3" l="1"/>
  <c r="L211" i="3"/>
  <c r="I66" i="9" l="1"/>
  <c r="I65" i="9"/>
  <c r="I62" i="9"/>
  <c r="I59" i="9"/>
  <c r="I56" i="9"/>
  <c r="I55" i="9"/>
  <c r="I51" i="9"/>
  <c r="I50" i="9"/>
  <c r="AB41" i="3"/>
  <c r="AB42" i="3" s="1"/>
  <c r="AB43" i="3" s="1"/>
  <c r="AB44" i="3" s="1"/>
  <c r="AB47" i="3"/>
  <c r="AB48" i="3" s="1"/>
  <c r="AB49" i="3" s="1"/>
  <c r="AB50" i="3"/>
  <c r="AB51" i="3" s="1"/>
  <c r="AB52" i="3" s="1"/>
  <c r="AB53" i="3" s="1"/>
  <c r="AB54" i="3" s="1"/>
  <c r="AB55" i="3" s="1"/>
  <c r="AB56" i="3" s="1"/>
  <c r="AB57" i="3" s="1"/>
  <c r="AB58" i="3" s="1"/>
  <c r="AB59" i="3" s="1"/>
  <c r="AB60" i="3" s="1"/>
  <c r="AB62" i="3"/>
  <c r="AB63" i="3" s="1"/>
  <c r="AB64" i="3" s="1"/>
  <c r="AB65" i="3"/>
  <c r="AB66" i="3" s="1"/>
  <c r="AB67" i="3" s="1"/>
  <c r="AB68" i="3"/>
  <c r="AB69" i="3" s="1"/>
  <c r="AB75" i="3"/>
  <c r="AB76" i="3" s="1"/>
  <c r="AB77" i="3" s="1"/>
  <c r="AB81" i="3"/>
  <c r="AB82" i="3" s="1"/>
  <c r="AB83" i="3" s="1"/>
  <c r="AB84" i="3"/>
  <c r="AB85" i="3" s="1"/>
  <c r="AB86" i="3"/>
  <c r="AB87" i="3" s="1"/>
  <c r="AB88" i="3" s="1"/>
  <c r="AB89" i="3" s="1"/>
  <c r="AB90" i="3"/>
  <c r="AB91" i="3" s="1"/>
  <c r="AB92" i="3" s="1"/>
  <c r="AB93" i="3"/>
  <c r="AB94" i="3" s="1"/>
  <c r="AB95" i="3" s="1"/>
  <c r="AB96" i="3"/>
  <c r="AB97" i="3" s="1"/>
  <c r="AB98" i="3" s="1"/>
  <c r="AB99" i="3"/>
  <c r="AB100" i="3" s="1"/>
  <c r="AB109" i="3"/>
  <c r="AB110" i="3" s="1"/>
  <c r="AB111" i="3" s="1"/>
  <c r="AB112" i="3" s="1"/>
  <c r="AB113" i="3"/>
  <c r="AB114" i="3" s="1"/>
  <c r="AB115" i="3" s="1"/>
  <c r="AB116" i="3" s="1"/>
  <c r="AB117" i="3"/>
  <c r="AB118" i="3" s="1"/>
  <c r="AB119" i="3" s="1"/>
  <c r="AB120" i="3"/>
  <c r="AB121" i="3" s="1"/>
  <c r="AB122" i="3" s="1"/>
  <c r="AB123" i="3" s="1"/>
  <c r="AB124" i="3" s="1"/>
  <c r="AB127" i="3"/>
  <c r="AB128" i="3" s="1"/>
  <c r="AB129" i="3" s="1"/>
  <c r="AB130" i="3" s="1"/>
  <c r="AB131" i="3" s="1"/>
  <c r="AB132" i="3" s="1"/>
  <c r="AB135" i="3"/>
  <c r="AB136" i="3" s="1"/>
  <c r="AB137" i="3" s="1"/>
  <c r="AB138" i="3" s="1"/>
  <c r="AB139" i="3" s="1"/>
  <c r="AB140" i="3"/>
  <c r="AB141" i="3" s="1"/>
  <c r="AB143" i="3"/>
  <c r="AB144" i="3" s="1"/>
  <c r="AB145" i="3" s="1"/>
  <c r="AB146" i="3" s="1"/>
  <c r="AB147" i="3"/>
  <c r="AB148" i="3" s="1"/>
  <c r="AB149" i="3" s="1"/>
  <c r="AB161" i="3"/>
  <c r="AB162" i="3" s="1"/>
  <c r="AB163" i="3" s="1"/>
  <c r="AB164" i="3" s="1"/>
  <c r="AB165" i="3"/>
  <c r="AB166" i="3" s="1"/>
  <c r="AB167" i="3" s="1"/>
  <c r="AB168" i="3" s="1"/>
  <c r="AB169" i="3" s="1"/>
  <c r="AB170" i="3" s="1"/>
  <c r="AB171" i="3" s="1"/>
  <c r="AB172" i="3"/>
  <c r="AB173" i="3" s="1"/>
  <c r="AB181" i="3"/>
  <c r="AB184" i="3"/>
  <c r="AB185" i="3" s="1"/>
  <c r="AB205" i="3"/>
  <c r="AB206" i="3" s="1"/>
  <c r="AB207" i="3" s="1"/>
  <c r="AB208" i="3" s="1"/>
  <c r="AB209" i="3"/>
  <c r="AB210" i="3" s="1"/>
  <c r="AB211" i="3"/>
  <c r="AB212" i="3"/>
  <c r="AB213" i="3" s="1"/>
  <c r="AB214" i="3" s="1"/>
  <c r="AB215" i="3"/>
  <c r="AB216" i="3" s="1"/>
  <c r="AB217" i="3" s="1"/>
  <c r="AB220" i="3"/>
  <c r="AB221" i="3" s="1"/>
  <c r="AB222" i="3" s="1"/>
  <c r="AB223" i="3" s="1"/>
  <c r="AB225" i="3"/>
  <c r="AB226" i="3" s="1"/>
  <c r="AB227" i="3" s="1"/>
  <c r="AB228" i="3"/>
  <c r="AB229" i="3" s="1"/>
  <c r="AB230" i="3" s="1"/>
  <c r="AB231" i="3"/>
  <c r="AB232" i="3" s="1"/>
  <c r="AB233" i="3" s="1"/>
  <c r="AB234" i="3" s="1"/>
  <c r="AB235" i="3" s="1"/>
  <c r="AB236" i="3" s="1"/>
  <c r="AB237" i="3" s="1"/>
  <c r="AB238" i="3" s="1"/>
  <c r="AB239" i="3" s="1"/>
  <c r="AB240" i="3" s="1"/>
  <c r="AB241" i="3"/>
  <c r="AB242" i="3" s="1"/>
  <c r="AB243" i="3"/>
  <c r="AB244" i="3" s="1"/>
  <c r="AC8" i="3"/>
  <c r="AD8" i="3"/>
  <c r="AC9" i="3"/>
  <c r="AD9" i="3"/>
  <c r="AD10" i="3"/>
  <c r="AD11" i="3"/>
  <c r="AD12" i="3"/>
  <c r="AC13" i="3"/>
  <c r="AC14" i="3" s="1"/>
  <c r="AC15" i="3" s="1"/>
  <c r="AC16" i="3" s="1"/>
  <c r="AD13" i="3"/>
  <c r="AD14" i="3"/>
  <c r="AD15" i="3"/>
  <c r="AD16" i="3"/>
  <c r="AD17" i="3"/>
  <c r="AD18" i="3"/>
  <c r="AC19" i="3"/>
  <c r="AD19" i="3"/>
  <c r="AC20" i="3"/>
  <c r="AD20" i="3"/>
  <c r="AC21" i="3"/>
  <c r="AD21" i="3"/>
  <c r="AC22" i="3"/>
  <c r="AD22" i="3"/>
  <c r="AC23" i="3"/>
  <c r="AD23" i="3"/>
  <c r="AC24" i="3"/>
  <c r="AD24" i="3"/>
  <c r="AC25" i="3"/>
  <c r="AD25" i="3"/>
  <c r="AC26" i="3"/>
  <c r="AD26" i="3"/>
  <c r="AC27" i="3"/>
  <c r="AD27" i="3"/>
  <c r="AC28" i="3"/>
  <c r="AD28" i="3"/>
  <c r="AC29" i="3"/>
  <c r="AD29" i="3"/>
  <c r="AC30" i="3"/>
  <c r="AC31" i="3" s="1"/>
  <c r="AD30" i="3"/>
  <c r="AD31" i="3"/>
  <c r="AC32" i="3"/>
  <c r="AD32" i="3"/>
  <c r="AC33" i="3"/>
  <c r="AD33" i="3"/>
  <c r="AC34" i="3"/>
  <c r="AD34" i="3"/>
  <c r="AC35" i="3"/>
  <c r="AD35" i="3"/>
  <c r="AC36" i="3"/>
  <c r="AD36" i="3"/>
  <c r="AC37" i="3"/>
  <c r="AC38" i="3" s="1"/>
  <c r="AD37" i="3"/>
  <c r="AD38" i="3"/>
  <c r="AC39" i="3"/>
  <c r="AD39" i="3"/>
  <c r="AC40" i="3"/>
  <c r="AC41" i="3" s="1"/>
  <c r="AD40" i="3"/>
  <c r="AD41" i="3"/>
  <c r="AC42" i="3"/>
  <c r="AD42" i="3"/>
  <c r="AC43" i="3"/>
  <c r="AD43" i="3"/>
  <c r="AC44" i="3"/>
  <c r="AC45" i="3" s="1"/>
  <c r="AC46" i="3" s="1"/>
  <c r="AC47" i="3" s="1"/>
  <c r="AD44" i="3"/>
  <c r="AD45" i="3"/>
  <c r="AD46" i="3"/>
  <c r="AD47" i="3"/>
  <c r="AC48" i="3"/>
  <c r="AD48" i="3"/>
  <c r="AC49" i="3"/>
  <c r="AC50" i="3" s="1"/>
  <c r="AD49" i="3"/>
  <c r="AD50" i="3"/>
  <c r="AC51" i="3"/>
  <c r="AD51" i="3"/>
  <c r="AD52" i="3"/>
  <c r="AD53" i="3"/>
  <c r="AD54" i="3"/>
  <c r="AD55" i="3"/>
  <c r="AC56" i="3"/>
  <c r="AD56" i="3"/>
  <c r="AC57" i="3"/>
  <c r="AD57" i="3"/>
  <c r="AC58" i="3"/>
  <c r="AD58" i="3"/>
  <c r="AC59" i="3"/>
  <c r="AD59" i="3"/>
  <c r="AC60" i="3"/>
  <c r="AD60" i="3"/>
  <c r="AC61" i="3"/>
  <c r="AC62" i="3" s="1"/>
  <c r="AD61" i="3"/>
  <c r="AD62" i="3"/>
  <c r="AC63" i="3"/>
  <c r="AD63" i="3"/>
  <c r="AC64" i="3"/>
  <c r="AC65" i="3" s="1"/>
  <c r="AD64" i="3"/>
  <c r="AD65" i="3"/>
  <c r="AC66" i="3"/>
  <c r="AD66" i="3"/>
  <c r="AC67" i="3"/>
  <c r="AD67" i="3"/>
  <c r="AD68" i="3"/>
  <c r="AC69" i="3"/>
  <c r="AD69" i="3"/>
  <c r="AC70" i="3"/>
  <c r="AD70" i="3"/>
  <c r="AC71" i="3"/>
  <c r="AD71" i="3"/>
  <c r="AC72" i="3"/>
  <c r="AD72" i="3"/>
  <c r="AC73" i="3"/>
  <c r="AD73" i="3"/>
  <c r="AC74" i="3"/>
  <c r="AD74" i="3"/>
  <c r="AD75" i="3"/>
  <c r="AC76" i="3"/>
  <c r="AD76" i="3"/>
  <c r="AC77" i="3"/>
  <c r="AD77" i="3"/>
  <c r="AC78" i="3"/>
  <c r="AD78" i="3"/>
  <c r="AC79" i="3"/>
  <c r="AD79" i="3"/>
  <c r="AC80" i="3"/>
  <c r="AD80" i="3"/>
  <c r="AC81" i="3"/>
  <c r="AD81" i="3"/>
  <c r="AC82" i="3"/>
  <c r="AD82" i="3"/>
  <c r="AC83" i="3"/>
  <c r="AD83" i="3"/>
  <c r="AD84" i="3"/>
  <c r="AC85" i="3"/>
  <c r="AC86" i="3" s="1"/>
  <c r="AD85" i="3"/>
  <c r="AD86" i="3"/>
  <c r="AC87" i="3"/>
  <c r="AD87" i="3"/>
  <c r="AC88" i="3"/>
  <c r="AD88" i="3"/>
  <c r="AC89" i="3"/>
  <c r="AC90" i="3" s="1"/>
  <c r="AD89" i="3"/>
  <c r="AD90" i="3"/>
  <c r="AC91" i="3"/>
  <c r="AD91" i="3"/>
  <c r="AC92" i="3"/>
  <c r="AC93" i="3" s="1"/>
  <c r="AD92" i="3"/>
  <c r="AD93" i="3"/>
  <c r="AC94" i="3"/>
  <c r="AD94" i="3"/>
  <c r="AC95" i="3"/>
  <c r="AC96" i="3" s="1"/>
  <c r="AD95" i="3"/>
  <c r="AD96" i="3"/>
  <c r="AC97" i="3"/>
  <c r="AD97" i="3"/>
  <c r="AC98" i="3"/>
  <c r="AD98" i="3"/>
  <c r="AD99" i="3"/>
  <c r="AC100" i="3"/>
  <c r="AD100" i="3"/>
  <c r="AC101" i="3"/>
  <c r="AD101" i="3"/>
  <c r="AC102" i="3"/>
  <c r="AD102" i="3"/>
  <c r="AC103" i="3"/>
  <c r="AD103" i="3"/>
  <c r="AC104" i="3"/>
  <c r="AD104" i="3"/>
  <c r="AC105" i="3"/>
  <c r="AD105" i="3"/>
  <c r="AC106" i="3"/>
  <c r="AD106" i="3"/>
  <c r="AC107" i="3"/>
  <c r="AD107" i="3"/>
  <c r="AC108" i="3"/>
  <c r="AC109" i="3" s="1"/>
  <c r="AD108" i="3"/>
  <c r="AD109" i="3"/>
  <c r="AC110" i="3"/>
  <c r="AD110" i="3"/>
  <c r="AC111" i="3"/>
  <c r="AD111" i="3"/>
  <c r="AC112" i="3"/>
  <c r="AC113" i="3" s="1"/>
  <c r="AD112" i="3"/>
  <c r="AD113" i="3"/>
  <c r="AC114" i="3"/>
  <c r="AD114" i="3"/>
  <c r="AC115" i="3"/>
  <c r="AD115" i="3"/>
  <c r="AC116" i="3"/>
  <c r="AC117" i="3" s="1"/>
  <c r="AD116" i="3"/>
  <c r="AD117" i="3"/>
  <c r="AC118" i="3"/>
  <c r="AD118" i="3"/>
  <c r="AC119" i="3"/>
  <c r="AC120" i="3" s="1"/>
  <c r="AD119" i="3"/>
  <c r="AD120" i="3"/>
  <c r="AC121" i="3"/>
  <c r="AD121" i="3"/>
  <c r="AC122" i="3"/>
  <c r="AD122" i="3"/>
  <c r="AC123" i="3"/>
  <c r="AD123" i="3"/>
  <c r="AC124" i="3"/>
  <c r="AD124" i="3"/>
  <c r="AC125" i="3"/>
  <c r="AD125" i="3"/>
  <c r="AC126" i="3"/>
  <c r="AC127" i="3" s="1"/>
  <c r="AD126" i="3"/>
  <c r="AD127" i="3"/>
  <c r="AC128" i="3"/>
  <c r="AD128" i="3"/>
  <c r="AC129" i="3"/>
  <c r="AD129" i="3"/>
  <c r="AC130" i="3"/>
  <c r="AD130" i="3"/>
  <c r="AC131" i="3"/>
  <c r="AD131" i="3"/>
  <c r="AC132" i="3"/>
  <c r="AD132" i="3"/>
  <c r="AC133" i="3"/>
  <c r="AD133" i="3"/>
  <c r="AC134" i="3"/>
  <c r="AC135" i="3" s="1"/>
  <c r="AD134" i="3"/>
  <c r="AD135" i="3"/>
  <c r="AC136" i="3"/>
  <c r="AD136" i="3"/>
  <c r="AC137" i="3"/>
  <c r="AD137" i="3"/>
  <c r="AC138" i="3"/>
  <c r="AD138" i="3"/>
  <c r="AC139" i="3"/>
  <c r="AD139" i="3"/>
  <c r="AD140" i="3"/>
  <c r="AC141" i="3"/>
  <c r="AD141" i="3"/>
  <c r="AC142" i="3"/>
  <c r="AC143" i="3" s="1"/>
  <c r="AD142" i="3"/>
  <c r="AD143" i="3"/>
  <c r="AC144" i="3"/>
  <c r="AC145" i="3" s="1"/>
  <c r="AD144" i="3"/>
  <c r="AD145" i="3"/>
  <c r="AC146" i="3"/>
  <c r="AD146" i="3"/>
  <c r="AD147" i="3"/>
  <c r="AC148" i="3"/>
  <c r="AD148" i="3"/>
  <c r="AC149" i="3"/>
  <c r="AD149" i="3"/>
  <c r="AC150" i="3"/>
  <c r="AD150" i="3"/>
  <c r="AC151" i="3"/>
  <c r="AD151" i="3"/>
  <c r="AC152" i="3"/>
  <c r="AC153" i="3" s="1"/>
  <c r="AD152" i="3"/>
  <c r="AD153" i="3"/>
  <c r="AD154" i="3"/>
  <c r="AD155" i="3"/>
  <c r="AC156" i="3"/>
  <c r="AC157" i="3" s="1"/>
  <c r="AC158" i="3" s="1"/>
  <c r="AC159" i="3" s="1"/>
  <c r="AD156" i="3"/>
  <c r="AD157" i="3"/>
  <c r="AD158" i="3"/>
  <c r="AD159" i="3"/>
  <c r="AC160" i="3"/>
  <c r="AC161" i="3" s="1"/>
  <c r="AD160" i="3"/>
  <c r="AD161" i="3"/>
  <c r="AC162" i="3"/>
  <c r="AD162" i="3"/>
  <c r="AC163" i="3"/>
  <c r="AD163" i="3"/>
  <c r="AC164" i="3"/>
  <c r="AC165" i="3" s="1"/>
  <c r="AD164" i="3"/>
  <c r="AD165" i="3"/>
  <c r="AC166" i="3"/>
  <c r="AD166" i="3"/>
  <c r="AC167" i="3"/>
  <c r="AC168" i="3" s="1"/>
  <c r="AD167" i="3"/>
  <c r="AD168" i="3"/>
  <c r="AD169" i="3"/>
  <c r="AD170" i="3"/>
  <c r="AD171" i="3"/>
  <c r="AD172" i="3"/>
  <c r="AC173" i="3"/>
  <c r="AD173" i="3"/>
  <c r="AC174" i="3"/>
  <c r="AD174" i="3"/>
  <c r="AC175" i="3"/>
  <c r="AD175" i="3"/>
  <c r="AC176" i="3"/>
  <c r="AD176" i="3"/>
  <c r="AC177" i="3"/>
  <c r="AD177" i="3"/>
  <c r="AC178" i="3"/>
  <c r="AD178" i="3"/>
  <c r="AC179" i="3"/>
  <c r="AD179" i="3"/>
  <c r="AC180" i="3"/>
  <c r="AC181" i="3" s="1"/>
  <c r="AD180" i="3"/>
  <c r="AD181" i="3"/>
  <c r="AC182" i="3"/>
  <c r="AD182" i="3"/>
  <c r="AC183" i="3"/>
  <c r="AD183" i="3"/>
  <c r="AD184" i="3"/>
  <c r="AC185" i="3"/>
  <c r="AD185" i="3"/>
  <c r="AC186" i="3"/>
  <c r="AD186" i="3"/>
  <c r="AC187" i="3"/>
  <c r="AD187" i="3"/>
  <c r="AD188" i="3"/>
  <c r="AD189" i="3"/>
  <c r="AC190" i="3"/>
  <c r="AC191" i="3" s="1"/>
  <c r="AD190" i="3"/>
  <c r="AD191" i="3"/>
  <c r="AD192" i="3"/>
  <c r="AD193" i="3"/>
  <c r="AD194" i="3"/>
  <c r="AD195" i="3"/>
  <c r="AD196" i="3"/>
  <c r="AC197" i="3"/>
  <c r="AC198" i="3" s="1"/>
  <c r="AC199" i="3" s="1"/>
  <c r="AD197" i="3"/>
  <c r="AD198" i="3"/>
  <c r="AD199" i="3"/>
  <c r="AD200" i="3"/>
  <c r="AD201" i="3"/>
  <c r="AD202" i="3"/>
  <c r="AD203" i="3"/>
  <c r="AD204" i="3"/>
  <c r="AD205" i="3"/>
  <c r="AC206" i="3"/>
  <c r="AD206" i="3"/>
  <c r="AC207" i="3"/>
  <c r="AD207" i="3"/>
  <c r="AC208" i="3"/>
  <c r="AC209" i="3" s="1"/>
  <c r="AD208" i="3"/>
  <c r="AD209" i="3"/>
  <c r="AC210" i="3"/>
  <c r="AD210" i="3"/>
  <c r="AD211" i="3"/>
  <c r="AC212" i="3"/>
  <c r="AD212" i="3"/>
  <c r="AC213" i="3"/>
  <c r="AD213" i="3"/>
  <c r="AC214" i="3"/>
  <c r="AC215" i="3" s="1"/>
  <c r="AD214" i="3"/>
  <c r="AD215" i="3"/>
  <c r="AC216" i="3"/>
  <c r="AD216" i="3"/>
  <c r="AC217" i="3"/>
  <c r="AD217" i="3"/>
  <c r="AC218" i="3"/>
  <c r="AD218" i="3"/>
  <c r="AC219" i="3"/>
  <c r="AD219" i="3"/>
  <c r="AD220" i="3"/>
  <c r="AC221" i="3"/>
  <c r="AD221" i="3"/>
  <c r="AC222" i="3"/>
  <c r="AD222" i="3"/>
  <c r="AC223" i="3"/>
  <c r="AD223" i="3"/>
  <c r="AC224" i="3"/>
  <c r="AC225" i="3" s="1"/>
  <c r="AD224" i="3"/>
  <c r="AD225" i="3"/>
  <c r="AC226" i="3"/>
  <c r="AD226" i="3"/>
  <c r="AC227" i="3"/>
  <c r="AD227" i="3"/>
  <c r="AD228" i="3"/>
  <c r="AC229" i="3"/>
  <c r="AD229" i="3"/>
  <c r="AC230" i="3"/>
  <c r="AC231" i="3" s="1"/>
  <c r="AD230" i="3"/>
  <c r="AD231" i="3"/>
  <c r="AC232" i="3"/>
  <c r="AC233" i="3" s="1"/>
  <c r="AD232" i="3"/>
  <c r="AD233" i="3"/>
  <c r="AD234" i="3"/>
  <c r="AD235" i="3"/>
  <c r="AD236" i="3"/>
  <c r="AC237" i="3"/>
  <c r="AD237" i="3"/>
  <c r="AD238" i="3"/>
  <c r="AD239" i="3"/>
  <c r="AD240" i="3"/>
  <c r="AD241" i="3"/>
  <c r="AC242" i="3"/>
  <c r="AD242" i="3"/>
  <c r="AD243" i="3"/>
  <c r="AC244" i="3"/>
  <c r="AD244" i="3"/>
  <c r="AC7" i="3"/>
  <c r="AD7" i="3"/>
  <c r="AD6" i="3"/>
  <c r="AE6" i="3" s="1"/>
  <c r="AB7" i="3"/>
  <c r="AB31" i="3"/>
  <c r="AB32" i="3" s="1"/>
  <c r="AB38" i="3"/>
  <c r="AB39" i="3" s="1"/>
  <c r="AB40" i="3" s="1"/>
  <c r="C393" i="13"/>
  <c r="C392" i="13"/>
  <c r="C391" i="13"/>
  <c r="C390" i="13"/>
  <c r="C388" i="13"/>
  <c r="C386" i="13"/>
  <c r="C385" i="13"/>
  <c r="C384" i="13"/>
  <c r="C382" i="13"/>
  <c r="C381" i="13"/>
  <c r="C380" i="13"/>
  <c r="C378" i="13"/>
  <c r="C377" i="13"/>
  <c r="C376" i="13"/>
  <c r="C374" i="13"/>
  <c r="C372" i="13"/>
  <c r="C371" i="13"/>
  <c r="C369" i="13"/>
  <c r="C368" i="13"/>
  <c r="C367" i="13"/>
  <c r="C366" i="13"/>
  <c r="C364" i="13"/>
  <c r="C363" i="13"/>
  <c r="C362" i="13"/>
  <c r="C361" i="13"/>
  <c r="C359" i="13"/>
  <c r="C358" i="13"/>
  <c r="C357" i="13"/>
  <c r="C355" i="13"/>
  <c r="C354" i="13"/>
  <c r="C353" i="13"/>
  <c r="C352" i="13"/>
  <c r="C351" i="13"/>
  <c r="C350" i="13"/>
  <c r="C349" i="13"/>
  <c r="C347" i="13"/>
  <c r="C346" i="13"/>
  <c r="C345" i="13"/>
  <c r="C343" i="13"/>
  <c r="C342" i="13"/>
  <c r="C341" i="13"/>
  <c r="C340" i="13"/>
  <c r="C339" i="13"/>
  <c r="C338" i="13"/>
  <c r="C336" i="13"/>
  <c r="C335" i="13"/>
  <c r="C334" i="13"/>
  <c r="C333" i="13"/>
  <c r="C332" i="13"/>
  <c r="C331" i="13"/>
  <c r="C330" i="13"/>
  <c r="C328" i="13"/>
  <c r="C327" i="13"/>
  <c r="C326" i="13"/>
  <c r="C325" i="13"/>
  <c r="C324" i="13"/>
  <c r="C323" i="13"/>
  <c r="C322" i="13"/>
  <c r="C321" i="13"/>
  <c r="C319" i="13"/>
  <c r="C318" i="13"/>
  <c r="C317" i="13"/>
  <c r="C316" i="13"/>
  <c r="C315" i="13"/>
  <c r="C314" i="13"/>
  <c r="C313" i="13"/>
  <c r="C312" i="13"/>
  <c r="C311" i="13"/>
  <c r="C310" i="13"/>
  <c r="C309" i="13"/>
  <c r="C308" i="13"/>
  <c r="C307" i="13"/>
  <c r="C306" i="13"/>
  <c r="C305" i="13"/>
  <c r="C304" i="13"/>
  <c r="C303" i="13"/>
  <c r="C302" i="13"/>
  <c r="C301" i="13"/>
  <c r="C300" i="13"/>
  <c r="C299" i="13"/>
  <c r="C298" i="13"/>
  <c r="C297" i="13"/>
  <c r="C296" i="13"/>
  <c r="C294" i="13"/>
  <c r="C293" i="13"/>
  <c r="C292" i="13"/>
  <c r="C290" i="13"/>
  <c r="C289" i="13"/>
  <c r="C288" i="13"/>
  <c r="C287" i="13"/>
  <c r="C286" i="13"/>
  <c r="C285" i="13"/>
  <c r="C284" i="13"/>
  <c r="C282" i="13"/>
  <c r="C281" i="13"/>
  <c r="C280" i="13"/>
  <c r="C279" i="13"/>
  <c r="C278" i="13"/>
  <c r="C277" i="13"/>
  <c r="C276" i="13"/>
  <c r="C275" i="13"/>
  <c r="C273" i="13"/>
  <c r="C271" i="13"/>
  <c r="C270" i="13"/>
  <c r="C269" i="13"/>
  <c r="C268" i="13"/>
  <c r="C266" i="13"/>
  <c r="C265" i="13"/>
  <c r="C263" i="13"/>
  <c r="C262" i="13"/>
  <c r="C261" i="13"/>
  <c r="C260" i="13"/>
  <c r="C259" i="13"/>
  <c r="C258" i="13"/>
  <c r="C257" i="13"/>
  <c r="C256" i="13"/>
  <c r="C254" i="13"/>
  <c r="C253" i="13"/>
  <c r="C251" i="13"/>
  <c r="C250" i="13"/>
  <c r="C249" i="13"/>
  <c r="C248" i="13"/>
  <c r="C247" i="13"/>
  <c r="C246" i="13"/>
  <c r="C245" i="13"/>
  <c r="C244" i="13"/>
  <c r="C243" i="13"/>
  <c r="C242" i="13"/>
  <c r="C241" i="13"/>
  <c r="C240" i="13"/>
  <c r="C239" i="13"/>
  <c r="C238" i="13"/>
  <c r="C236" i="13"/>
  <c r="C235" i="13"/>
  <c r="C234" i="13"/>
  <c r="C233" i="13"/>
  <c r="C232" i="13"/>
  <c r="C231" i="13"/>
  <c r="C230" i="13"/>
  <c r="C229" i="13"/>
  <c r="C228" i="13"/>
  <c r="C227" i="13"/>
  <c r="C226" i="13"/>
  <c r="C225" i="13"/>
  <c r="C224" i="13"/>
  <c r="C223" i="13"/>
  <c r="C222" i="13"/>
  <c r="C221" i="13"/>
  <c r="C220" i="13"/>
  <c r="C219" i="13"/>
  <c r="C218" i="13"/>
  <c r="C217" i="13"/>
  <c r="C216" i="13"/>
  <c r="C215" i="13"/>
  <c r="C214" i="13"/>
  <c r="C213" i="13"/>
  <c r="C212" i="13"/>
  <c r="C211" i="13"/>
  <c r="C210" i="13"/>
  <c r="C209" i="13"/>
  <c r="C208" i="13"/>
  <c r="C207" i="13"/>
  <c r="C206" i="13"/>
  <c r="C205" i="13"/>
  <c r="C204" i="13"/>
  <c r="C203" i="13"/>
  <c r="C202" i="13"/>
  <c r="C201" i="13"/>
  <c r="C200" i="13"/>
  <c r="C199" i="13"/>
  <c r="C198" i="13"/>
  <c r="C197" i="13"/>
  <c r="C196" i="13"/>
  <c r="C195" i="13"/>
  <c r="C194" i="13"/>
  <c r="C193" i="13"/>
  <c r="C192" i="13"/>
  <c r="C191" i="13"/>
  <c r="C190" i="13"/>
  <c r="C189" i="13"/>
  <c r="C188" i="13"/>
  <c r="C187" i="13"/>
  <c r="C186" i="13"/>
  <c r="C185" i="13"/>
  <c r="C184" i="13"/>
  <c r="C183" i="13"/>
  <c r="C182" i="13"/>
  <c r="C180" i="13"/>
  <c r="C179" i="13"/>
  <c r="C178" i="13"/>
  <c r="C177" i="13"/>
  <c r="C176" i="13"/>
  <c r="C175" i="13"/>
  <c r="C174" i="13"/>
  <c r="C173" i="13"/>
  <c r="C172" i="13"/>
  <c r="C171" i="13"/>
  <c r="C170" i="13"/>
  <c r="C169" i="13"/>
  <c r="C168" i="13"/>
  <c r="C167" i="13"/>
  <c r="C166" i="13"/>
  <c r="C165" i="13"/>
  <c r="C164" i="13"/>
  <c r="C163" i="13"/>
  <c r="C162" i="13"/>
  <c r="C161" i="13"/>
  <c r="C160" i="13"/>
  <c r="C159" i="13"/>
  <c r="C158" i="13"/>
  <c r="C156" i="13"/>
  <c r="C155" i="13"/>
  <c r="C153" i="13"/>
  <c r="C152" i="13"/>
  <c r="C151" i="13"/>
  <c r="C150" i="13"/>
  <c r="C149" i="13"/>
  <c r="C148" i="13"/>
  <c r="C147" i="13"/>
  <c r="C146" i="13"/>
  <c r="C145" i="13"/>
  <c r="C144" i="13"/>
  <c r="C143" i="13"/>
  <c r="C142" i="13"/>
  <c r="C140" i="13"/>
  <c r="C139" i="13"/>
  <c r="C138" i="13"/>
  <c r="C137" i="13"/>
  <c r="C136" i="13"/>
  <c r="C135" i="13"/>
  <c r="C134" i="13"/>
  <c r="C133" i="13"/>
  <c r="C132" i="13"/>
  <c r="C131" i="13"/>
  <c r="C130" i="13"/>
  <c r="C129" i="13"/>
  <c r="C128" i="13"/>
  <c r="C127" i="13"/>
  <c r="C126" i="13"/>
  <c r="C125" i="13"/>
  <c r="C124" i="13"/>
  <c r="C123" i="13"/>
  <c r="C122" i="13"/>
  <c r="C121" i="13"/>
  <c r="C120" i="13"/>
  <c r="C119" i="13"/>
  <c r="C118" i="13"/>
  <c r="C117" i="13"/>
  <c r="C116" i="13"/>
  <c r="C115" i="13"/>
  <c r="C114" i="13"/>
  <c r="C113" i="13"/>
  <c r="C112" i="13"/>
  <c r="C111" i="13"/>
  <c r="C110" i="13"/>
  <c r="C109" i="13"/>
  <c r="C108" i="13"/>
  <c r="C107" i="13"/>
  <c r="C106" i="13"/>
  <c r="C105" i="13"/>
  <c r="C104" i="13"/>
  <c r="C103" i="13"/>
  <c r="C102" i="13"/>
  <c r="C101" i="13"/>
  <c r="C100" i="13"/>
  <c r="C99" i="13"/>
  <c r="C98" i="13"/>
  <c r="C97" i="13"/>
  <c r="C96" i="13"/>
  <c r="C95" i="13"/>
  <c r="C94" i="13"/>
  <c r="C93" i="13"/>
  <c r="C92" i="13"/>
  <c r="C91" i="13"/>
  <c r="C90" i="13"/>
  <c r="C89" i="13"/>
  <c r="C88" i="13"/>
  <c r="C87" i="13"/>
  <c r="C86" i="13"/>
  <c r="C85" i="13"/>
  <c r="C84" i="13"/>
  <c r="C83" i="13"/>
  <c r="C82" i="13"/>
  <c r="C81" i="13"/>
  <c r="C80" i="13"/>
  <c r="C79" i="13"/>
  <c r="C78" i="13"/>
  <c r="C77" i="13"/>
  <c r="C76" i="13"/>
  <c r="C74" i="13"/>
  <c r="C72" i="13"/>
  <c r="C71" i="13"/>
  <c r="C70" i="13"/>
  <c r="C68" i="13"/>
  <c r="C67" i="13"/>
  <c r="C65" i="13"/>
  <c r="C64" i="13"/>
  <c r="C63" i="13"/>
  <c r="C62" i="13"/>
  <c r="C61" i="13"/>
  <c r="C59" i="13"/>
  <c r="C58" i="13"/>
  <c r="C57" i="13"/>
  <c r="C56" i="13"/>
  <c r="C55" i="13"/>
  <c r="C54" i="13"/>
  <c r="C53" i="13"/>
  <c r="C51" i="13"/>
  <c r="C50" i="13"/>
  <c r="C48" i="13"/>
  <c r="C46" i="13"/>
  <c r="C45" i="13"/>
  <c r="C44" i="13"/>
  <c r="C43" i="13"/>
  <c r="C42" i="13"/>
  <c r="C41" i="13"/>
  <c r="C40" i="13"/>
  <c r="C38" i="13"/>
  <c r="C36" i="13"/>
  <c r="C34" i="13"/>
  <c r="C33" i="13"/>
  <c r="C32" i="13"/>
  <c r="C31" i="13"/>
  <c r="C29" i="13"/>
  <c r="C27" i="13"/>
  <c r="C26" i="13"/>
  <c r="C25" i="13"/>
  <c r="C24" i="13"/>
  <c r="C22" i="13"/>
  <c r="C21" i="13"/>
  <c r="C20" i="13"/>
  <c r="C19" i="13"/>
  <c r="C17" i="13"/>
  <c r="C16" i="13"/>
  <c r="C15" i="13"/>
  <c r="C14" i="13"/>
  <c r="C13" i="13"/>
  <c r="C12" i="13"/>
  <c r="C11" i="13"/>
  <c r="C10" i="13"/>
  <c r="C9" i="13"/>
  <c r="C8" i="13"/>
  <c r="C7" i="13"/>
  <c r="C6" i="13"/>
  <c r="C5" i="13"/>
  <c r="C4" i="13"/>
  <c r="C3" i="13"/>
  <c r="AE148" i="3" l="1"/>
  <c r="AE96" i="3"/>
  <c r="AE7" i="3"/>
  <c r="AE181" i="3"/>
  <c r="AE85" i="3"/>
  <c r="AE161" i="3"/>
  <c r="AB182" i="3"/>
  <c r="AB183" i="3" s="1"/>
  <c r="AE183" i="3" s="1"/>
  <c r="AE165" i="3"/>
  <c r="AE117" i="3"/>
  <c r="AE209" i="3"/>
  <c r="AE31" i="3"/>
  <c r="AE81" i="3"/>
  <c r="AE50" i="3"/>
  <c r="AE164" i="3"/>
  <c r="AE97" i="3"/>
  <c r="AE116" i="3"/>
  <c r="AE212" i="3"/>
  <c r="AE100" i="3"/>
  <c r="AE92" i="3"/>
  <c r="AE90" i="3"/>
  <c r="AE121" i="3"/>
  <c r="AE120" i="3"/>
  <c r="AE244" i="3"/>
  <c r="AE118" i="3"/>
  <c r="AE109" i="3"/>
  <c r="AE93" i="3"/>
  <c r="AE41" i="3"/>
  <c r="AB186" i="3"/>
  <c r="AB187" i="3" s="1"/>
  <c r="AB188" i="3" s="1"/>
  <c r="AB189" i="3" s="1"/>
  <c r="AB190" i="3" s="1"/>
  <c r="AB191" i="3" s="1"/>
  <c r="AB192" i="3" s="1"/>
  <c r="AB193" i="3" s="1"/>
  <c r="AB194" i="3" s="1"/>
  <c r="AB195" i="3" s="1"/>
  <c r="AB196" i="3" s="1"/>
  <c r="AB197" i="3" s="1"/>
  <c r="AE197" i="3" s="1"/>
  <c r="AE185" i="3"/>
  <c r="AE166" i="3"/>
  <c r="AE65" i="3"/>
  <c r="AE51" i="3"/>
  <c r="AE38" i="3"/>
  <c r="AE113" i="3"/>
  <c r="AE40" i="3"/>
  <c r="AE39" i="3"/>
  <c r="AE32" i="3"/>
  <c r="AE110" i="3"/>
  <c r="AE94" i="3"/>
  <c r="AE91" i="3"/>
  <c r="AE225" i="3"/>
  <c r="AE173" i="3"/>
  <c r="AB174" i="3"/>
  <c r="AB175" i="3" s="1"/>
  <c r="AB176" i="3" s="1"/>
  <c r="AB177" i="3" s="1"/>
  <c r="AE141" i="3"/>
  <c r="AB142" i="3"/>
  <c r="AE142" i="3" s="1"/>
  <c r="AE60" i="3"/>
  <c r="AB61" i="3"/>
  <c r="AE61" i="3" s="1"/>
  <c r="AB133" i="3"/>
  <c r="AE132" i="3"/>
  <c r="AE77" i="3"/>
  <c r="AB78" i="3"/>
  <c r="AB79" i="3" s="1"/>
  <c r="AB80" i="3" s="1"/>
  <c r="AE80" i="3" s="1"/>
  <c r="AB224" i="3"/>
  <c r="AE224" i="3" s="1"/>
  <c r="AE223" i="3"/>
  <c r="AB125" i="3"/>
  <c r="AE124" i="3"/>
  <c r="AB218" i="3"/>
  <c r="AB219" i="3" s="1"/>
  <c r="AE219" i="3" s="1"/>
  <c r="AE217" i="3"/>
  <c r="AE69" i="3"/>
  <c r="AB70" i="3"/>
  <c r="AB71" i="3" s="1"/>
  <c r="AB72" i="3" s="1"/>
  <c r="AB73" i="3" s="1"/>
  <c r="AB74" i="3" s="1"/>
  <c r="AE74" i="3" s="1"/>
  <c r="AB45" i="3"/>
  <c r="AE44" i="3"/>
  <c r="AE149" i="3"/>
  <c r="AB150" i="3"/>
  <c r="AB151" i="3" s="1"/>
  <c r="AB152" i="3" s="1"/>
  <c r="AB153" i="3" s="1"/>
  <c r="AB154" i="3" s="1"/>
  <c r="AB155" i="3" s="1"/>
  <c r="AB156" i="3" s="1"/>
  <c r="AE232" i="3"/>
  <c r="AE136" i="3"/>
  <c r="AE129" i="3"/>
  <c r="AE208" i="3"/>
  <c r="AE95" i="3"/>
  <c r="AE88" i="3"/>
  <c r="AE58" i="3"/>
  <c r="AE231" i="3"/>
  <c r="AE215" i="3"/>
  <c r="AE162" i="3"/>
  <c r="AE144" i="3"/>
  <c r="AE128" i="3"/>
  <c r="AE114" i="3"/>
  <c r="AE76" i="3"/>
  <c r="AE64" i="3"/>
  <c r="AB101" i="3"/>
  <c r="AE122" i="3"/>
  <c r="AE227" i="3"/>
  <c r="AE207" i="3"/>
  <c r="AE145" i="3"/>
  <c r="AE87" i="3"/>
  <c r="AE139" i="3"/>
  <c r="AE112" i="3"/>
  <c r="AE98" i="3"/>
  <c r="AE83" i="3"/>
  <c r="AE63" i="3"/>
  <c r="AE47" i="3"/>
  <c r="AE43" i="3"/>
  <c r="AE163" i="3"/>
  <c r="AE146" i="3"/>
  <c r="AE137" i="3"/>
  <c r="AE115" i="3"/>
  <c r="AE89" i="3"/>
  <c r="AE242" i="3"/>
  <c r="AE226" i="3"/>
  <c r="AE222" i="3"/>
  <c r="AE206" i="3"/>
  <c r="AE167" i="3"/>
  <c r="AE135" i="3"/>
  <c r="AE131" i="3"/>
  <c r="AE119" i="3"/>
  <c r="AE67" i="3"/>
  <c r="AE56" i="3"/>
  <c r="AE216" i="3"/>
  <c r="AE57" i="3"/>
  <c r="AE230" i="3"/>
  <c r="AE214" i="3"/>
  <c r="AE210" i="3"/>
  <c r="AE143" i="3"/>
  <c r="AE138" i="3"/>
  <c r="AE127" i="3"/>
  <c r="AE123" i="3"/>
  <c r="AE111" i="3"/>
  <c r="AE86" i="3"/>
  <c r="AE82" i="3"/>
  <c r="AE42" i="3"/>
  <c r="AE229" i="3"/>
  <c r="AE213" i="3"/>
  <c r="AE48" i="3"/>
  <c r="AE237" i="3"/>
  <c r="AE221" i="3"/>
  <c r="AE187" i="3"/>
  <c r="AE130" i="3"/>
  <c r="AE66" i="3"/>
  <c r="AE62" i="3"/>
  <c r="AE59" i="3"/>
  <c r="AE49" i="3"/>
  <c r="AE233" i="3"/>
  <c r="AC234" i="3"/>
  <c r="AC154" i="3"/>
  <c r="AC17" i="3"/>
  <c r="AE168" i="3"/>
  <c r="AC169" i="3"/>
  <c r="AC228" i="3"/>
  <c r="AE228" i="3" s="1"/>
  <c r="AC220" i="3"/>
  <c r="AE220" i="3" s="1"/>
  <c r="AC188" i="3"/>
  <c r="AC140" i="3"/>
  <c r="AE140" i="3" s="1"/>
  <c r="AC84" i="3"/>
  <c r="AE84" i="3" s="1"/>
  <c r="AC68" i="3"/>
  <c r="AE68" i="3" s="1"/>
  <c r="AC52" i="3"/>
  <c r="AC10" i="3"/>
  <c r="AC238" i="3"/>
  <c r="AC211" i="3"/>
  <c r="AE211" i="3" s="1"/>
  <c r="AC147" i="3"/>
  <c r="AE147" i="3" s="1"/>
  <c r="AC99" i="3"/>
  <c r="AE99" i="3" s="1"/>
  <c r="AC75" i="3"/>
  <c r="AE75" i="3" s="1"/>
  <c r="AC243" i="3"/>
  <c r="AE243" i="3" s="1"/>
  <c r="AC200" i="3"/>
  <c r="AC192" i="3"/>
  <c r="AC184" i="3"/>
  <c r="AE184" i="3" s="1"/>
  <c r="AB33" i="3"/>
  <c r="AE33" i="3" s="1"/>
  <c r="AB8" i="3"/>
  <c r="AE8" i="3" s="1"/>
  <c r="AE182" i="3" l="1"/>
  <c r="AE73" i="3"/>
  <c r="AE218" i="3"/>
  <c r="AE190" i="3"/>
  <c r="AE153" i="3"/>
  <c r="AE70" i="3"/>
  <c r="AE79" i="3"/>
  <c r="AE72" i="3"/>
  <c r="AE78" i="3"/>
  <c r="AE71" i="3"/>
  <c r="AE150" i="3"/>
  <c r="AE152" i="3"/>
  <c r="AE186" i="3"/>
  <c r="AB198" i="3"/>
  <c r="AE151" i="3"/>
  <c r="AE191" i="3"/>
  <c r="AE156" i="3"/>
  <c r="AB157" i="3"/>
  <c r="AE133" i="3"/>
  <c r="AB134" i="3"/>
  <c r="AE134" i="3" s="1"/>
  <c r="AE45" i="3"/>
  <c r="AB46" i="3"/>
  <c r="AE46" i="3" s="1"/>
  <c r="AE176" i="3"/>
  <c r="AE174" i="3"/>
  <c r="AE175" i="3"/>
  <c r="AE125" i="3"/>
  <c r="AB126" i="3"/>
  <c r="AE126" i="3" s="1"/>
  <c r="AE101" i="3"/>
  <c r="AB102" i="3"/>
  <c r="AB178" i="3"/>
  <c r="AE177" i="3"/>
  <c r="AE192" i="3"/>
  <c r="AC193" i="3"/>
  <c r="AE169" i="3"/>
  <c r="AC170" i="3"/>
  <c r="AC201" i="3"/>
  <c r="AC18" i="3"/>
  <c r="AE154" i="3"/>
  <c r="AC155" i="3"/>
  <c r="AE155" i="3" s="1"/>
  <c r="AC239" i="3"/>
  <c r="AE238" i="3"/>
  <c r="AE52" i="3"/>
  <c r="AC53" i="3"/>
  <c r="AE188" i="3"/>
  <c r="AC189" i="3"/>
  <c r="AE189" i="3" s="1"/>
  <c r="AC11" i="3"/>
  <c r="AE234" i="3"/>
  <c r="AC235" i="3"/>
  <c r="AB34" i="3"/>
  <c r="AE34" i="3" s="1"/>
  <c r="AB9" i="3"/>
  <c r="AE9" i="3" s="1"/>
  <c r="O235" i="3"/>
  <c r="P236" i="3"/>
  <c r="Y235" i="3"/>
  <c r="R235" i="3"/>
  <c r="M235" i="3"/>
  <c r="O234" i="3"/>
  <c r="O233" i="3"/>
  <c r="O207" i="3"/>
  <c r="O206" i="3"/>
  <c r="O182" i="3"/>
  <c r="O151" i="3"/>
  <c r="O112" i="3"/>
  <c r="O110" i="3"/>
  <c r="O104" i="3"/>
  <c r="O91" i="3"/>
  <c r="AB199" i="3" l="1"/>
  <c r="AE198" i="3"/>
  <c r="AB179" i="3"/>
  <c r="AE178" i="3"/>
  <c r="AB103" i="3"/>
  <c r="AE102" i="3"/>
  <c r="AB158" i="3"/>
  <c r="AE157" i="3"/>
  <c r="AE53" i="3"/>
  <c r="AC54" i="3"/>
  <c r="AC202" i="3"/>
  <c r="AE235" i="3"/>
  <c r="AC236" i="3"/>
  <c r="AE236" i="3" s="1"/>
  <c r="AE170" i="3"/>
  <c r="AC171" i="3"/>
  <c r="AC240" i="3"/>
  <c r="AE239" i="3"/>
  <c r="AC12" i="3"/>
  <c r="AE193" i="3"/>
  <c r="AC194" i="3"/>
  <c r="AB35" i="3"/>
  <c r="AE35" i="3" s="1"/>
  <c r="AB10" i="3"/>
  <c r="AE10" i="3" s="1"/>
  <c r="L84" i="3"/>
  <c r="L247" i="3"/>
  <c r="O247" i="3" s="1"/>
  <c r="R16" i="3"/>
  <c r="Y16" i="3"/>
  <c r="Y24" i="3"/>
  <c r="S24" i="3"/>
  <c r="Y8" i="3"/>
  <c r="O229" i="3"/>
  <c r="Q244" i="3"/>
  <c r="P244" i="3"/>
  <c r="O244" i="3"/>
  <c r="O212" i="3"/>
  <c r="P208" i="3"/>
  <c r="O210" i="3"/>
  <c r="Q208" i="3"/>
  <c r="O208" i="3"/>
  <c r="Y207" i="3"/>
  <c r="Q207" i="3"/>
  <c r="R207" i="3" s="1"/>
  <c r="O202" i="3"/>
  <c r="O203" i="3"/>
  <c r="Y179" i="3"/>
  <c r="Q179" i="3"/>
  <c r="S179" i="3" s="1"/>
  <c r="P179" i="3"/>
  <c r="O179" i="3"/>
  <c r="Y178" i="3"/>
  <c r="Q178" i="3"/>
  <c r="S178" i="3" s="1"/>
  <c r="P178" i="3"/>
  <c r="O178" i="3"/>
  <c r="Y177" i="3"/>
  <c r="Q177" i="3"/>
  <c r="S177" i="3" s="1"/>
  <c r="P177" i="3"/>
  <c r="O177" i="3"/>
  <c r="Y175" i="3"/>
  <c r="Q175" i="3"/>
  <c r="S175" i="3" s="1"/>
  <c r="P175" i="3"/>
  <c r="O175" i="3"/>
  <c r="Y174" i="3"/>
  <c r="Q174" i="3"/>
  <c r="S174" i="3" s="1"/>
  <c r="P174" i="3"/>
  <c r="O174" i="3"/>
  <c r="Q169" i="3"/>
  <c r="P169" i="3"/>
  <c r="O169" i="3"/>
  <c r="Q145" i="3"/>
  <c r="P145" i="3"/>
  <c r="Q163" i="3"/>
  <c r="O163" i="3"/>
  <c r="O164" i="3"/>
  <c r="O162" i="3"/>
  <c r="Q146" i="3"/>
  <c r="S146" i="3" s="1"/>
  <c r="U96" i="3"/>
  <c r="U84" i="3"/>
  <c r="O137" i="3"/>
  <c r="O136" i="3"/>
  <c r="Q129" i="3"/>
  <c r="Q134" i="3"/>
  <c r="AB200" i="3" l="1"/>
  <c r="AE199" i="3"/>
  <c r="AB180" i="3"/>
  <c r="AE180" i="3" s="1"/>
  <c r="AE179" i="3"/>
  <c r="AB159" i="3"/>
  <c r="AE158" i="3"/>
  <c r="AB104" i="3"/>
  <c r="AE103" i="3"/>
  <c r="AE171" i="3"/>
  <c r="AC172" i="3"/>
  <c r="AE172" i="3" s="1"/>
  <c r="AE194" i="3"/>
  <c r="AC195" i="3"/>
  <c r="AC203" i="3"/>
  <c r="AE240" i="3"/>
  <c r="AC241" i="3"/>
  <c r="AE241" i="3" s="1"/>
  <c r="AC55" i="3"/>
  <c r="AE55" i="3" s="1"/>
  <c r="AE54" i="3"/>
  <c r="AB36" i="3"/>
  <c r="AE36" i="3" s="1"/>
  <c r="AB11" i="3"/>
  <c r="AE11" i="3" s="1"/>
  <c r="Q247" i="3"/>
  <c r="R247" i="3"/>
  <c r="S247" i="3"/>
  <c r="P247" i="3"/>
  <c r="S16" i="3"/>
  <c r="R24" i="3"/>
  <c r="S207" i="3"/>
  <c r="R179" i="3"/>
  <c r="R178" i="3"/>
  <c r="R174" i="3"/>
  <c r="R177" i="3"/>
  <c r="R175" i="3"/>
  <c r="R146" i="3"/>
  <c r="AB201" i="3" l="1"/>
  <c r="AE200" i="3"/>
  <c r="AB105" i="3"/>
  <c r="AE104" i="3"/>
  <c r="AB160" i="3"/>
  <c r="AE160" i="3" s="1"/>
  <c r="AE159" i="3"/>
  <c r="AC204" i="3"/>
  <c r="AE195" i="3"/>
  <c r="AC196" i="3"/>
  <c r="AE196" i="3" s="1"/>
  <c r="AB37" i="3"/>
  <c r="AE37" i="3" s="1"/>
  <c r="AB12" i="3"/>
  <c r="AE12" i="3" s="1"/>
  <c r="Q130" i="3"/>
  <c r="S130" i="3" s="1"/>
  <c r="O134" i="3"/>
  <c r="O129" i="3"/>
  <c r="P130" i="3"/>
  <c r="O130" i="3"/>
  <c r="Y130" i="3"/>
  <c r="Y129" i="3"/>
  <c r="S129" i="3"/>
  <c r="AB202" i="3" l="1"/>
  <c r="AE201" i="3"/>
  <c r="AB106" i="3"/>
  <c r="AE105" i="3"/>
  <c r="AC205" i="3"/>
  <c r="AE205" i="3" s="1"/>
  <c r="AB13" i="3"/>
  <c r="AE13" i="3" s="1"/>
  <c r="R130" i="3"/>
  <c r="R129" i="3"/>
  <c r="AB203" i="3" l="1"/>
  <c r="AE202" i="3"/>
  <c r="AB107" i="3"/>
  <c r="AE106" i="3"/>
  <c r="AB14" i="3"/>
  <c r="AE14" i="3" s="1"/>
  <c r="Q121" i="3"/>
  <c r="Q112" i="3"/>
  <c r="Q111" i="3"/>
  <c r="O107" i="3"/>
  <c r="O106" i="3"/>
  <c r="Q104" i="3"/>
  <c r="O103" i="3"/>
  <c r="O102" i="3"/>
  <c r="O108" i="3"/>
  <c r="Q98" i="3"/>
  <c r="S98" i="3" s="1"/>
  <c r="P98" i="3"/>
  <c r="O98" i="3"/>
  <c r="Q97" i="3"/>
  <c r="S97" i="3" s="1"/>
  <c r="P97" i="3"/>
  <c r="O97" i="3"/>
  <c r="Y98" i="3"/>
  <c r="U98" i="3"/>
  <c r="T98" i="3" s="1"/>
  <c r="Y97" i="3"/>
  <c r="Y96" i="3"/>
  <c r="L96" i="3"/>
  <c r="S96" i="3" s="1"/>
  <c r="O88" i="3"/>
  <c r="Q80" i="3"/>
  <c r="S80" i="3" s="1"/>
  <c r="P80" i="3"/>
  <c r="O80" i="3"/>
  <c r="Q79" i="3"/>
  <c r="R79" i="3" s="1"/>
  <c r="P79" i="3"/>
  <c r="O79" i="3"/>
  <c r="Q78" i="3"/>
  <c r="S78" i="3" s="1"/>
  <c r="P78" i="3"/>
  <c r="O78" i="3"/>
  <c r="Q77" i="3"/>
  <c r="S77" i="3" s="1"/>
  <c r="P77" i="3"/>
  <c r="O77" i="3"/>
  <c r="Q76" i="3"/>
  <c r="S76" i="3" s="1"/>
  <c r="Q73" i="3"/>
  <c r="P73" i="3"/>
  <c r="O73" i="3"/>
  <c r="Q74" i="3"/>
  <c r="P74" i="3"/>
  <c r="O74" i="3"/>
  <c r="Q72" i="3"/>
  <c r="S72" i="3" s="1"/>
  <c r="P72" i="3"/>
  <c r="O72" i="3"/>
  <c r="Q71" i="3"/>
  <c r="P71" i="3"/>
  <c r="O71" i="3"/>
  <c r="Q70" i="3"/>
  <c r="P70" i="3"/>
  <c r="O70" i="3"/>
  <c r="Y72" i="3"/>
  <c r="U72" i="3"/>
  <c r="T72" i="3" s="1"/>
  <c r="S69" i="3"/>
  <c r="R69" i="3"/>
  <c r="Q33" i="3"/>
  <c r="P33" i="3"/>
  <c r="O33" i="3"/>
  <c r="S15" i="3"/>
  <c r="Q18" i="3"/>
  <c r="S18" i="3" s="1"/>
  <c r="P18" i="3"/>
  <c r="O18" i="3"/>
  <c r="Q17" i="3"/>
  <c r="S17" i="3" s="1"/>
  <c r="Q29" i="3"/>
  <c r="S29" i="3" s="1"/>
  <c r="P29" i="3"/>
  <c r="O29" i="3"/>
  <c r="Q35" i="3"/>
  <c r="S35" i="3" s="1"/>
  <c r="P35" i="3"/>
  <c r="O35" i="3"/>
  <c r="O32" i="3"/>
  <c r="P180" i="3"/>
  <c r="P176" i="3"/>
  <c r="P173" i="3"/>
  <c r="Y22" i="3"/>
  <c r="R22" i="3"/>
  <c r="Y23" i="3"/>
  <c r="Q23" i="3"/>
  <c r="S23" i="3" s="1"/>
  <c r="P23" i="3"/>
  <c r="O23" i="3"/>
  <c r="AB204" i="3" l="1"/>
  <c r="AE204" i="3" s="1"/>
  <c r="AE203" i="3"/>
  <c r="AB108" i="3"/>
  <c r="AE108" i="3" s="1"/>
  <c r="AE107" i="3"/>
  <c r="AB15" i="3"/>
  <c r="AE15" i="3" s="1"/>
  <c r="O96" i="3"/>
  <c r="R78" i="3"/>
  <c r="P96" i="3"/>
  <c r="Q96" i="3"/>
  <c r="R96" i="3"/>
  <c r="S79" i="3"/>
  <c r="R76" i="3"/>
  <c r="R80" i="3"/>
  <c r="R77" i="3"/>
  <c r="R97" i="3"/>
  <c r="R98" i="3"/>
  <c r="R72" i="3"/>
  <c r="R15" i="3"/>
  <c r="R23" i="3"/>
  <c r="S22" i="3"/>
  <c r="R18" i="3"/>
  <c r="R17" i="3"/>
  <c r="R35" i="3"/>
  <c r="R29" i="3"/>
  <c r="AB16" i="3" l="1"/>
  <c r="AE16" i="3" s="1"/>
  <c r="O2" i="3"/>
  <c r="I2" i="3"/>
  <c r="E2" i="3"/>
  <c r="AB17" i="3" l="1"/>
  <c r="AE17" i="3" s="1"/>
  <c r="Y249" i="3"/>
  <c r="Y248" i="3"/>
  <c r="Y250" i="3"/>
  <c r="Y251" i="3"/>
  <c r="L243" i="3"/>
  <c r="Y252" i="3"/>
  <c r="Y247" i="3"/>
  <c r="Y244" i="3"/>
  <c r="O2" i="7"/>
  <c r="E2" i="7"/>
  <c r="I2" i="7"/>
  <c r="Y243" i="3"/>
  <c r="Y242" i="3"/>
  <c r="Y241" i="3"/>
  <c r="Y240" i="3"/>
  <c r="Y239" i="3"/>
  <c r="Y238" i="3"/>
  <c r="Y237" i="3"/>
  <c r="Y236" i="3"/>
  <c r="Y234" i="3"/>
  <c r="Y232" i="3"/>
  <c r="Y231" i="3"/>
  <c r="Y230" i="3"/>
  <c r="Y229" i="3"/>
  <c r="Y228" i="3"/>
  <c r="Y227" i="3"/>
  <c r="Y226" i="3"/>
  <c r="Y225" i="3"/>
  <c r="Y223" i="3"/>
  <c r="Y222" i="3"/>
  <c r="Y221" i="3"/>
  <c r="Y220" i="3"/>
  <c r="Y218" i="3"/>
  <c r="Y217" i="3"/>
  <c r="Y216" i="3"/>
  <c r="Y215" i="3"/>
  <c r="Y214" i="3"/>
  <c r="Y213" i="3"/>
  <c r="Y212" i="3"/>
  <c r="Y211" i="3"/>
  <c r="Y210" i="3"/>
  <c r="Y209" i="3"/>
  <c r="Y208" i="3"/>
  <c r="Y206" i="3"/>
  <c r="Y205" i="3"/>
  <c r="Y204" i="3"/>
  <c r="Y203" i="3"/>
  <c r="Y202" i="3"/>
  <c r="Y201" i="3"/>
  <c r="Y200" i="3"/>
  <c r="Y199" i="3"/>
  <c r="Y198" i="3"/>
  <c r="Y197" i="3"/>
  <c r="Y196" i="3"/>
  <c r="Y195" i="3"/>
  <c r="Y194" i="3"/>
  <c r="Y193" i="3"/>
  <c r="Y192" i="3"/>
  <c r="Y191" i="3"/>
  <c r="Y190" i="3"/>
  <c r="Y187" i="3"/>
  <c r="Y186" i="3"/>
  <c r="Y185" i="3"/>
  <c r="Y184" i="3"/>
  <c r="Y183" i="3"/>
  <c r="Y182" i="3"/>
  <c r="Y181" i="3"/>
  <c r="Y180" i="3"/>
  <c r="Y176" i="3"/>
  <c r="Y173" i="3"/>
  <c r="Y172" i="3"/>
  <c r="Y171" i="3"/>
  <c r="Y145" i="3"/>
  <c r="Y55" i="3"/>
  <c r="Y170" i="3"/>
  <c r="Y169" i="3"/>
  <c r="Y168" i="3"/>
  <c r="Y54" i="3"/>
  <c r="Y53" i="3"/>
  <c r="Y52" i="3"/>
  <c r="Y167" i="3"/>
  <c r="Y166" i="3"/>
  <c r="Y165" i="3"/>
  <c r="Y163" i="3"/>
  <c r="Y162" i="3"/>
  <c r="Y161" i="3"/>
  <c r="Y160" i="3"/>
  <c r="Y159" i="3"/>
  <c r="Y158" i="3"/>
  <c r="Y157" i="3"/>
  <c r="Y156" i="3"/>
  <c r="Y155" i="3"/>
  <c r="Y154" i="3"/>
  <c r="Y153" i="3"/>
  <c r="Y152" i="3"/>
  <c r="Y151" i="3"/>
  <c r="Y150" i="3"/>
  <c r="Y149" i="3"/>
  <c r="Y148" i="3"/>
  <c r="Y147" i="3"/>
  <c r="Y146" i="3"/>
  <c r="Y144" i="3"/>
  <c r="Y143" i="3"/>
  <c r="Y140" i="3"/>
  <c r="Y139" i="3"/>
  <c r="Y138" i="3"/>
  <c r="Y137" i="3"/>
  <c r="Y136" i="3"/>
  <c r="Y135" i="3"/>
  <c r="Y134" i="3"/>
  <c r="Y133" i="3"/>
  <c r="Y132" i="3"/>
  <c r="Y131" i="3"/>
  <c r="Y128" i="3"/>
  <c r="Y127" i="3"/>
  <c r="Y126" i="3"/>
  <c r="Y125" i="3"/>
  <c r="Y124" i="3"/>
  <c r="Y123" i="3"/>
  <c r="Y122" i="3"/>
  <c r="Y121" i="3"/>
  <c r="Y120" i="3"/>
  <c r="Y119" i="3"/>
  <c r="Y118" i="3"/>
  <c r="Y117" i="3"/>
  <c r="Y116" i="3"/>
  <c r="Y164" i="3"/>
  <c r="Y115" i="3"/>
  <c r="Y114" i="3"/>
  <c r="Y113" i="3"/>
  <c r="Y112" i="3"/>
  <c r="Y111" i="3"/>
  <c r="Y110" i="3"/>
  <c r="Y109" i="3"/>
  <c r="Y107" i="3"/>
  <c r="Y106" i="3"/>
  <c r="Y105" i="3"/>
  <c r="Y104" i="3"/>
  <c r="Y103" i="3"/>
  <c r="Y102" i="3"/>
  <c r="Y101" i="3"/>
  <c r="Y100" i="3"/>
  <c r="Y108" i="3"/>
  <c r="Y99" i="3"/>
  <c r="Y95" i="3"/>
  <c r="Y94" i="3"/>
  <c r="Y93" i="3"/>
  <c r="Y92" i="3"/>
  <c r="Y91" i="3"/>
  <c r="Y90" i="3"/>
  <c r="Y89" i="3"/>
  <c r="Y88" i="3"/>
  <c r="Y87" i="3"/>
  <c r="Y86" i="3"/>
  <c r="Y85" i="3"/>
  <c r="Y84" i="3"/>
  <c r="Y83" i="3"/>
  <c r="Y82" i="3"/>
  <c r="Y81" i="3"/>
  <c r="Y80" i="3"/>
  <c r="Y78" i="3"/>
  <c r="Y77" i="3"/>
  <c r="Y76" i="3"/>
  <c r="Y75" i="3"/>
  <c r="Y74" i="3"/>
  <c r="Y73" i="3"/>
  <c r="Y71" i="3"/>
  <c r="Y69" i="3"/>
  <c r="Y68" i="3"/>
  <c r="Y67" i="3"/>
  <c r="Y66" i="3"/>
  <c r="Y65" i="3"/>
  <c r="Y64" i="3"/>
  <c r="Y63" i="3"/>
  <c r="Y62" i="3"/>
  <c r="Y61" i="3"/>
  <c r="Y60" i="3"/>
  <c r="Y59" i="3"/>
  <c r="Y58" i="3"/>
  <c r="Y57" i="3"/>
  <c r="Y56" i="3"/>
  <c r="Y51" i="3"/>
  <c r="Y50" i="3"/>
  <c r="Y49" i="3"/>
  <c r="Y48" i="3"/>
  <c r="Y47" i="3"/>
  <c r="Y46" i="3"/>
  <c r="Y45" i="3"/>
  <c r="Y44" i="3"/>
  <c r="Y43" i="3"/>
  <c r="Y42" i="3"/>
  <c r="Y41" i="3"/>
  <c r="Y40" i="3"/>
  <c r="Y39" i="3"/>
  <c r="Y38" i="3"/>
  <c r="Y37" i="3"/>
  <c r="Y36" i="3"/>
  <c r="Y35" i="3"/>
  <c r="Y34" i="3"/>
  <c r="Y33" i="3"/>
  <c r="Y32" i="3"/>
  <c r="Y31" i="3"/>
  <c r="Y30" i="3"/>
  <c r="Y29" i="3"/>
  <c r="Y28" i="3"/>
  <c r="Y27" i="3"/>
  <c r="Y26" i="3"/>
  <c r="Y25" i="3"/>
  <c r="Y21" i="3"/>
  <c r="Y20" i="3"/>
  <c r="Y19" i="3"/>
  <c r="Y18" i="3"/>
  <c r="Y17" i="3"/>
  <c r="Y15" i="3"/>
  <c r="Y14" i="3"/>
  <c r="Y13" i="3"/>
  <c r="Y12" i="3"/>
  <c r="Y11" i="3"/>
  <c r="Y10" i="3"/>
  <c r="Y9" i="3"/>
  <c r="Y7" i="3"/>
  <c r="Y6" i="3"/>
  <c r="Z67" i="3"/>
  <c r="Z66" i="3"/>
  <c r="Z65" i="3"/>
  <c r="Z64" i="3"/>
  <c r="O55" i="7"/>
  <c r="Q55" i="7" s="1"/>
  <c r="O56" i="7"/>
  <c r="Q56" i="7" s="1"/>
  <c r="M56" i="7"/>
  <c r="L56" i="7"/>
  <c r="L55" i="7"/>
  <c r="M55" i="7"/>
  <c r="H56" i="7"/>
  <c r="H55" i="7"/>
  <c r="I24" i="7"/>
  <c r="H24" i="7"/>
  <c r="U240" i="3"/>
  <c r="T240" i="3" s="1"/>
  <c r="U236" i="3"/>
  <c r="T236" i="3" s="1"/>
  <c r="U201" i="3"/>
  <c r="T201" i="3" s="1"/>
  <c r="U186" i="3"/>
  <c r="T186" i="3" s="1"/>
  <c r="U185" i="3"/>
  <c r="T185" i="3" s="1"/>
  <c r="U54" i="3"/>
  <c r="T54" i="3" s="1"/>
  <c r="U53" i="3"/>
  <c r="T53" i="3" s="1"/>
  <c r="U52" i="3"/>
  <c r="T52" i="3" s="1"/>
  <c r="U166" i="3"/>
  <c r="T166" i="3" s="1"/>
  <c r="U160" i="3"/>
  <c r="T160" i="3" s="1"/>
  <c r="U133" i="3"/>
  <c r="T133" i="3" s="1"/>
  <c r="U124" i="3"/>
  <c r="T124" i="3" s="1"/>
  <c r="U123" i="3"/>
  <c r="T123" i="3" s="1"/>
  <c r="U103" i="3"/>
  <c r="T103" i="3" s="1"/>
  <c r="U101" i="3"/>
  <c r="T101" i="3" s="1"/>
  <c r="U95" i="3"/>
  <c r="T95" i="3" s="1"/>
  <c r="U92" i="3"/>
  <c r="T92" i="3" s="1"/>
  <c r="U89" i="3"/>
  <c r="T89" i="3" s="1"/>
  <c r="U85" i="3"/>
  <c r="T85" i="3" s="1"/>
  <c r="T84" i="3" s="1"/>
  <c r="U71" i="3"/>
  <c r="T71" i="3" s="1"/>
  <c r="U69" i="3"/>
  <c r="T69" i="3" s="1"/>
  <c r="U61" i="3"/>
  <c r="T61" i="3" s="1"/>
  <c r="U60" i="3"/>
  <c r="T60" i="3" s="1"/>
  <c r="U59" i="3"/>
  <c r="T59" i="3" s="1"/>
  <c r="U58" i="3"/>
  <c r="T58" i="3" s="1"/>
  <c r="U57" i="3"/>
  <c r="T57" i="3" s="1"/>
  <c r="U49" i="3"/>
  <c r="T49" i="3" s="1"/>
  <c r="U43" i="3"/>
  <c r="T43" i="3" s="1"/>
  <c r="U40" i="3"/>
  <c r="T40" i="3" s="1"/>
  <c r="U12" i="3"/>
  <c r="T12" i="3" s="1"/>
  <c r="U11" i="3"/>
  <c r="T11" i="3" s="1"/>
  <c r="U10" i="3"/>
  <c r="T10" i="3" s="1"/>
  <c r="U7" i="3"/>
  <c r="T7" i="3" s="1"/>
  <c r="G19" i="1"/>
  <c r="H19" i="1"/>
  <c r="G18" i="1"/>
  <c r="G17" i="1"/>
  <c r="H18" i="1"/>
  <c r="H17" i="1"/>
  <c r="H23" i="1"/>
  <c r="G23" i="1"/>
  <c r="D282" i="3"/>
  <c r="D281" i="3"/>
  <c r="D280" i="3"/>
  <c r="U283" i="3"/>
  <c r="U282" i="3"/>
  <c r="U281" i="3"/>
  <c r="U280" i="3"/>
  <c r="T283" i="3"/>
  <c r="T282" i="3"/>
  <c r="T281" i="3"/>
  <c r="T280" i="3"/>
  <c r="S282" i="3"/>
  <c r="S281" i="3"/>
  <c r="S280" i="3"/>
  <c r="O282" i="3"/>
  <c r="O281" i="3"/>
  <c r="O280" i="3"/>
  <c r="G68" i="1"/>
  <c r="G67" i="1"/>
  <c r="G66" i="1"/>
  <c r="L237" i="3"/>
  <c r="P197" i="3"/>
  <c r="AB18" i="3" l="1"/>
  <c r="AE18" i="3" s="1"/>
  <c r="P243" i="3"/>
  <c r="Q243" i="3"/>
  <c r="O243" i="3"/>
  <c r="S244" i="3"/>
  <c r="S243" i="3" s="1"/>
  <c r="R244" i="3"/>
  <c r="R243" i="3" s="1"/>
  <c r="J19" i="1"/>
  <c r="I19" i="1" s="1"/>
  <c r="J17" i="1"/>
  <c r="I17" i="1" s="1"/>
  <c r="J56" i="7"/>
  <c r="I56" i="7" s="1"/>
  <c r="J55" i="7"/>
  <c r="I55" i="7" s="1"/>
  <c r="J18" i="1"/>
  <c r="I18" i="1" s="1"/>
  <c r="J23" i="1"/>
  <c r="I23" i="1" s="1"/>
  <c r="AB19" i="3" l="1"/>
  <c r="AE19" i="3" s="1"/>
  <c r="I20" i="1"/>
  <c r="J20" i="1"/>
  <c r="AB20" i="3" l="1"/>
  <c r="AE20" i="3" s="1"/>
  <c r="K64" i="1" l="1"/>
  <c r="H45" i="7"/>
  <c r="S235" i="3"/>
  <c r="K75" i="1"/>
  <c r="I45" i="7"/>
  <c r="AB21" i="3"/>
  <c r="AE21" i="3" s="1"/>
  <c r="K74" i="1"/>
  <c r="K63" i="1"/>
  <c r="AB22" i="3" l="1"/>
  <c r="AB23" i="3" s="1"/>
  <c r="U279" i="3"/>
  <c r="S283" i="3"/>
  <c r="T279" i="3"/>
  <c r="S279" i="3"/>
  <c r="P152" i="3" a="1"/>
  <c r="P152" i="3" s="1"/>
  <c r="R167" i="3"/>
  <c r="S167" i="3" s="1"/>
  <c r="AE22" i="3" l="1"/>
  <c r="F101" i="7"/>
  <c r="D101" i="7"/>
  <c r="F100" i="7"/>
  <c r="D100" i="7"/>
  <c r="F99" i="7"/>
  <c r="F98" i="7"/>
  <c r="Q283" i="3"/>
  <c r="O283" i="3"/>
  <c r="Q279" i="3"/>
  <c r="H279" i="3"/>
  <c r="F279" i="3"/>
  <c r="G13" i="1"/>
  <c r="D283" i="3"/>
  <c r="M198" i="3"/>
  <c r="M234" i="3"/>
  <c r="M233" i="3"/>
  <c r="M239" i="3"/>
  <c r="M238" i="3"/>
  <c r="M204" i="3"/>
  <c r="M203" i="3"/>
  <c r="M202" i="3"/>
  <c r="M200" i="3"/>
  <c r="M196" i="3"/>
  <c r="M195" i="3"/>
  <c r="M194" i="3"/>
  <c r="M193" i="3"/>
  <c r="M191" i="3"/>
  <c r="M187" i="3"/>
  <c r="M153" i="3"/>
  <c r="M158" i="3"/>
  <c r="M157" i="3"/>
  <c r="M14" i="7"/>
  <c r="M38" i="7" s="1"/>
  <c r="M13" i="7"/>
  <c r="M37" i="7" s="1"/>
  <c r="O66" i="9"/>
  <c r="O65" i="9"/>
  <c r="O64" i="9"/>
  <c r="O63" i="9"/>
  <c r="O62" i="9"/>
  <c r="O61" i="9"/>
  <c r="O60" i="9"/>
  <c r="O59" i="9"/>
  <c r="O58" i="9"/>
  <c r="O57" i="9"/>
  <c r="O56" i="9"/>
  <c r="O55" i="9"/>
  <c r="O54" i="9"/>
  <c r="O53" i="9"/>
  <c r="O52" i="9"/>
  <c r="O51" i="9"/>
  <c r="O50" i="9"/>
  <c r="O47" i="9"/>
  <c r="O46" i="9"/>
  <c r="O45" i="9"/>
  <c r="O44" i="9"/>
  <c r="O43" i="9"/>
  <c r="O42" i="9"/>
  <c r="O41" i="9"/>
  <c r="O40" i="9"/>
  <c r="O39" i="9"/>
  <c r="O38" i="9"/>
  <c r="O37" i="9"/>
  <c r="O36" i="9"/>
  <c r="O35" i="9"/>
  <c r="O34" i="9"/>
  <c r="O32" i="9"/>
  <c r="AE23" i="3" l="1"/>
  <c r="H13" i="1"/>
  <c r="F97" i="7"/>
  <c r="D279" i="3"/>
  <c r="AB24" i="3" l="1"/>
  <c r="AE24" i="3" s="1"/>
  <c r="L241" i="3"/>
  <c r="P241" i="3" s="1"/>
  <c r="Q239" i="3"/>
  <c r="S239" i="3" s="1"/>
  <c r="Q238" i="3"/>
  <c r="S238" i="3" s="1"/>
  <c r="Q234" i="3"/>
  <c r="S234" i="3" s="1"/>
  <c r="Q233" i="3"/>
  <c r="S233" i="3" s="1"/>
  <c r="Q203" i="3"/>
  <c r="S203" i="3" s="1"/>
  <c r="O198" i="3"/>
  <c r="Q195" i="3"/>
  <c r="S195" i="3" s="1"/>
  <c r="Q194" i="3"/>
  <c r="S194" i="3" s="1"/>
  <c r="Q193" i="3"/>
  <c r="Q158" i="3"/>
  <c r="S158" i="3" s="1"/>
  <c r="O158" i="3"/>
  <c r="AB25" i="3" l="1"/>
  <c r="AE25" i="3" s="1"/>
  <c r="O197" i="3"/>
  <c r="R195" i="3"/>
  <c r="R193" i="3"/>
  <c r="S193" i="3"/>
  <c r="R234" i="3"/>
  <c r="R194" i="3"/>
  <c r="R238" i="3"/>
  <c r="R239" i="3"/>
  <c r="R203" i="3"/>
  <c r="R158" i="3"/>
  <c r="R233" i="3"/>
  <c r="H64" i="9"/>
  <c r="I64" i="9" s="1"/>
  <c r="H63" i="9"/>
  <c r="I63" i="9" s="1"/>
  <c r="H61" i="9"/>
  <c r="I61" i="9" s="1"/>
  <c r="H60" i="9"/>
  <c r="I60" i="9" s="1"/>
  <c r="H58" i="9"/>
  <c r="I58" i="9" s="1"/>
  <c r="H57" i="9"/>
  <c r="I57" i="9" s="1"/>
  <c r="H53" i="9"/>
  <c r="I53" i="9" s="1"/>
  <c r="H52" i="9"/>
  <c r="I52" i="9" s="1"/>
  <c r="H42" i="9"/>
  <c r="I42" i="9" s="1"/>
  <c r="H44" i="9"/>
  <c r="I44" i="9" s="1"/>
  <c r="H45" i="9"/>
  <c r="I45" i="9" s="1"/>
  <c r="H43" i="9"/>
  <c r="I43" i="9" s="1"/>
  <c r="H40" i="9"/>
  <c r="I40" i="9" s="1"/>
  <c r="H39" i="9"/>
  <c r="I39" i="9" s="1"/>
  <c r="Y189" i="3"/>
  <c r="Y188" i="3"/>
  <c r="I35" i="9"/>
  <c r="Y233" i="3"/>
  <c r="I34" i="9"/>
  <c r="I37" i="9"/>
  <c r="I38" i="9"/>
  <c r="I41" i="9"/>
  <c r="I46" i="9"/>
  <c r="I47" i="9"/>
  <c r="I32" i="9"/>
  <c r="I8" i="9"/>
  <c r="AB26" i="3" l="1"/>
  <c r="AE26" i="3" s="1"/>
  <c r="L232" i="3"/>
  <c r="H33" i="9"/>
  <c r="I33" i="9" s="1"/>
  <c r="O33" i="9" s="1"/>
  <c r="H36" i="9"/>
  <c r="I36" i="9" s="1"/>
  <c r="C8" i="9"/>
  <c r="C7" i="9"/>
  <c r="O128" i="3"/>
  <c r="O126" i="3"/>
  <c r="O145" i="3"/>
  <c r="Q42" i="3"/>
  <c r="O17" i="3"/>
  <c r="Z145" i="3"/>
  <c r="Q116" i="3"/>
  <c r="Q115" i="3"/>
  <c r="O115" i="3"/>
  <c r="Q114" i="3"/>
  <c r="O114" i="3"/>
  <c r="AB27" i="3" l="1"/>
  <c r="AE27" i="3" s="1"/>
  <c r="S145" i="3"/>
  <c r="R145" i="3"/>
  <c r="S114" i="3"/>
  <c r="R114" i="3"/>
  <c r="R115" i="3"/>
  <c r="S115" i="3"/>
  <c r="S116" i="3"/>
  <c r="R116" i="3"/>
  <c r="S42" i="3"/>
  <c r="R42" i="3"/>
  <c r="I31" i="9"/>
  <c r="O31" i="9" s="1"/>
  <c r="AB28" i="3" l="1"/>
  <c r="AE28" i="3" s="1"/>
  <c r="D268" i="3"/>
  <c r="AB29" i="3" l="1"/>
  <c r="AE29" i="3" s="1"/>
  <c r="O111" i="3"/>
  <c r="Q110" i="3"/>
  <c r="P105" i="3"/>
  <c r="Y79" i="3"/>
  <c r="Q63" i="3"/>
  <c r="Q66" i="3"/>
  <c r="Q226" i="3"/>
  <c r="Q227" i="3"/>
  <c r="O226" i="3"/>
  <c r="Q56" i="3"/>
  <c r="P56" i="3"/>
  <c r="O56" i="3"/>
  <c r="Q51" i="3"/>
  <c r="P51" i="3"/>
  <c r="O51" i="3"/>
  <c r="Q58" i="3"/>
  <c r="O58" i="3"/>
  <c r="Q57" i="3"/>
  <c r="O57" i="3"/>
  <c r="Q60" i="3"/>
  <c r="O60" i="3"/>
  <c r="Q59" i="3"/>
  <c r="O59" i="3"/>
  <c r="Q61" i="3"/>
  <c r="P61" i="3"/>
  <c r="O61" i="3"/>
  <c r="O7" i="3"/>
  <c r="O39" i="3"/>
  <c r="L38" i="3"/>
  <c r="P27" i="3"/>
  <c r="P28" i="3"/>
  <c r="P30" i="3"/>
  <c r="P32" i="3"/>
  <c r="P34" i="3"/>
  <c r="P36" i="3"/>
  <c r="P37" i="3"/>
  <c r="AB30" i="3" l="1"/>
  <c r="AE30" i="3" s="1"/>
  <c r="S227" i="3"/>
  <c r="R227" i="3"/>
  <c r="S226" i="3"/>
  <c r="R226" i="3"/>
  <c r="R110" i="3"/>
  <c r="S110" i="3"/>
  <c r="S111" i="3"/>
  <c r="R111" i="3"/>
  <c r="R104" i="3"/>
  <c r="S104" i="3"/>
  <c r="S59" i="3"/>
  <c r="R59" i="3"/>
  <c r="R56" i="3"/>
  <c r="S56" i="3"/>
  <c r="S73" i="3"/>
  <c r="R73" i="3"/>
  <c r="R58" i="3"/>
  <c r="S58" i="3"/>
  <c r="S60" i="3"/>
  <c r="R60" i="3"/>
  <c r="S66" i="3"/>
  <c r="R66" i="3"/>
  <c r="S61" i="3"/>
  <c r="R61" i="3"/>
  <c r="S51" i="3"/>
  <c r="R51" i="3"/>
  <c r="S63" i="3"/>
  <c r="R63" i="3"/>
  <c r="S57" i="3"/>
  <c r="R57" i="3"/>
  <c r="P38" i="3"/>
  <c r="J179" i="1" l="1"/>
  <c r="G123" i="1"/>
  <c r="G120" i="1"/>
  <c r="Q142" i="3"/>
  <c r="P142" i="3"/>
  <c r="O142" i="3"/>
  <c r="Y142" i="3"/>
  <c r="Y141" i="3"/>
  <c r="O217" i="3" l="1"/>
  <c r="O216" i="3"/>
  <c r="O219" i="3"/>
  <c r="O218" i="3"/>
  <c r="Q224" i="3"/>
  <c r="Q223" i="3"/>
  <c r="Q222" i="3"/>
  <c r="Q221" i="3"/>
  <c r="S142" i="3"/>
  <c r="R142" i="3"/>
  <c r="P217" i="3" l="1"/>
  <c r="P216" i="3"/>
  <c r="P219" i="3"/>
  <c r="P218" i="3"/>
  <c r="P223" i="3"/>
  <c r="P222" i="3"/>
  <c r="P221" i="3"/>
  <c r="P224" i="3"/>
  <c r="O224" i="3"/>
  <c r="O223" i="3"/>
  <c r="O222" i="3"/>
  <c r="O221" i="3"/>
  <c r="Q219" i="3"/>
  <c r="Q216" i="3"/>
  <c r="Q218" i="3"/>
  <c r="Q217" i="3"/>
  <c r="G109" i="1"/>
  <c r="P59" i="3" l="1"/>
  <c r="P58" i="3"/>
  <c r="P57" i="3"/>
  <c r="P60" i="3"/>
  <c r="H175" i="1"/>
  <c r="Q53" i="3"/>
  <c r="P53" i="3"/>
  <c r="O53" i="3"/>
  <c r="Q133" i="3"/>
  <c r="O133" i="3"/>
  <c r="O150" i="3" l="1"/>
  <c r="O125" i="3"/>
  <c r="O193" i="3"/>
  <c r="O227" i="3"/>
  <c r="S133" i="3"/>
  <c r="R133" i="3"/>
  <c r="S134" i="3"/>
  <c r="R134" i="3"/>
  <c r="O242" i="3"/>
  <c r="O241" i="3" s="1"/>
  <c r="O63" i="3"/>
  <c r="S53" i="3"/>
  <c r="R53" i="3"/>
  <c r="O195" i="3"/>
  <c r="O191" i="3"/>
  <c r="O155" i="3"/>
  <c r="O154" i="3"/>
  <c r="O64" i="3"/>
  <c r="P12" i="3" l="1"/>
  <c r="C135" i="1" l="1"/>
  <c r="P109" i="3" l="1"/>
  <c r="P90" i="3"/>
  <c r="P31" i="3" l="1"/>
  <c r="Q30" i="3"/>
  <c r="S30" i="3" l="1"/>
  <c r="R30" i="3"/>
  <c r="Q154" i="3"/>
  <c r="S154" i="3" l="1"/>
  <c r="R154" i="3"/>
  <c r="L228" i="3" l="1"/>
  <c r="L225" i="3"/>
  <c r="L209" i="3"/>
  <c r="P209" i="3" l="1"/>
  <c r="O209" i="3"/>
  <c r="R225" i="3"/>
  <c r="Q225" i="3"/>
  <c r="S225" i="3"/>
  <c r="P225" i="3"/>
  <c r="O225" i="3"/>
  <c r="J175" i="1"/>
  <c r="P230" i="3" l="1"/>
  <c r="P228" i="3" s="1"/>
  <c r="Q230" i="3"/>
  <c r="O230" i="3"/>
  <c r="O228" i="3" s="1"/>
  <c r="P139" i="3"/>
  <c r="S230" i="3" l="1"/>
  <c r="R230" i="3"/>
  <c r="O44" i="3" l="1"/>
  <c r="U44" i="3" s="1"/>
  <c r="T44" i="3" s="1"/>
  <c r="Q202" i="3"/>
  <c r="S202" i="3" s="1"/>
  <c r="S74" i="3" l="1"/>
  <c r="R74" i="3"/>
  <c r="R202" i="3"/>
  <c r="H54" i="9"/>
  <c r="I54" i="9" s="1"/>
  <c r="J178" i="1" l="1"/>
  <c r="Q139" i="3"/>
  <c r="O139" i="3"/>
  <c r="Q27" i="3"/>
  <c r="O27" i="3"/>
  <c r="Q21" i="3"/>
  <c r="P21" i="3"/>
  <c r="O21" i="3"/>
  <c r="O28" i="3"/>
  <c r="Q28" i="3"/>
  <c r="Q26" i="3"/>
  <c r="P26" i="3"/>
  <c r="I26" i="7"/>
  <c r="H26" i="7"/>
  <c r="I25" i="7"/>
  <c r="H25" i="7"/>
  <c r="H178" i="1"/>
  <c r="Q36" i="3"/>
  <c r="O36" i="3"/>
  <c r="Q186" i="3"/>
  <c r="P186" i="3"/>
  <c r="O186" i="3"/>
  <c r="Q182" i="3"/>
  <c r="P182" i="3"/>
  <c r="Q183" i="3"/>
  <c r="P183" i="3"/>
  <c r="O183" i="3"/>
  <c r="P171" i="3"/>
  <c r="Q148" i="3"/>
  <c r="P148" i="3"/>
  <c r="O148" i="3"/>
  <c r="Q149" i="3"/>
  <c r="P149" i="3"/>
  <c r="O149" i="3"/>
  <c r="P136" i="3"/>
  <c r="Q119" i="3"/>
  <c r="Q118" i="3"/>
  <c r="P119" i="3"/>
  <c r="P118" i="3"/>
  <c r="O119" i="3"/>
  <c r="O118" i="3"/>
  <c r="Q242" i="3"/>
  <c r="Q241" i="3" s="1"/>
  <c r="Z63" i="3"/>
  <c r="Q100" i="3"/>
  <c r="P100" i="3"/>
  <c r="P99" i="3" s="1"/>
  <c r="O100" i="3"/>
  <c r="P81" i="3"/>
  <c r="O85" i="3"/>
  <c r="Q91" i="3"/>
  <c r="O92" i="3"/>
  <c r="Q92" i="3"/>
  <c r="O82" i="3"/>
  <c r="Q82" i="3"/>
  <c r="O83" i="3"/>
  <c r="Q83" i="3"/>
  <c r="P45" i="3"/>
  <c r="P46" i="3"/>
  <c r="Q45" i="3"/>
  <c r="Q46" i="3"/>
  <c r="Q229" i="3"/>
  <c r="Q228" i="3" s="1"/>
  <c r="Q240" i="3"/>
  <c r="P240" i="3"/>
  <c r="P239" i="3"/>
  <c r="P238" i="3"/>
  <c r="Q236" i="3"/>
  <c r="O236" i="3"/>
  <c r="P233" i="3"/>
  <c r="Q206" i="3"/>
  <c r="Q191" i="3"/>
  <c r="S191" i="3" s="1"/>
  <c r="P191" i="3"/>
  <c r="O185" i="3"/>
  <c r="Q180" i="3"/>
  <c r="O180" i="3"/>
  <c r="Q176" i="3"/>
  <c r="O176" i="3"/>
  <c r="Q173" i="3"/>
  <c r="O173" i="3"/>
  <c r="O171" i="3"/>
  <c r="P55" i="3"/>
  <c r="Q55" i="3"/>
  <c r="O55" i="3"/>
  <c r="U55" i="3" s="1"/>
  <c r="T55" i="3" s="1"/>
  <c r="Q170" i="3"/>
  <c r="P170" i="3"/>
  <c r="Q166" i="3"/>
  <c r="P166" i="3"/>
  <c r="O166" i="3"/>
  <c r="P161" i="3"/>
  <c r="P160" i="3"/>
  <c r="P156" i="3" s="1" a="1"/>
  <c r="P156" i="3" s="1"/>
  <c r="Q160" i="3"/>
  <c r="O160" i="3"/>
  <c r="Q159" i="3"/>
  <c r="S159" i="3" s="1"/>
  <c r="Q157" i="3"/>
  <c r="S157" i="3" s="1"/>
  <c r="O159" i="3"/>
  <c r="O157" i="3"/>
  <c r="Q155" i="3"/>
  <c r="Q153" i="3"/>
  <c r="S153" i="3" s="1"/>
  <c r="Q151" i="3"/>
  <c r="Q150" i="3"/>
  <c r="Q141" i="3"/>
  <c r="P141" i="3"/>
  <c r="O146" i="3"/>
  <c r="P138" i="3"/>
  <c r="O138" i="3"/>
  <c r="Q138" i="3"/>
  <c r="Q137" i="3"/>
  <c r="Q136" i="3"/>
  <c r="Q128" i="3"/>
  <c r="Q132" i="3"/>
  <c r="O124" i="3"/>
  <c r="Q123" i="3"/>
  <c r="O123" i="3"/>
  <c r="O121" i="3"/>
  <c r="Q101" i="3"/>
  <c r="Q49" i="3"/>
  <c r="P49" i="3"/>
  <c r="O49" i="3"/>
  <c r="O48" i="3"/>
  <c r="Q48" i="3"/>
  <c r="P48" i="3"/>
  <c r="Q43" i="3"/>
  <c r="O40" i="3"/>
  <c r="O38" i="3" s="1"/>
  <c r="Q37" i="3"/>
  <c r="O37" i="3"/>
  <c r="Q34" i="3"/>
  <c r="O34" i="3"/>
  <c r="Q32" i="3"/>
  <c r="O26" i="3"/>
  <c r="Q25" i="3"/>
  <c r="P25" i="3"/>
  <c r="O25" i="3"/>
  <c r="Q20" i="3"/>
  <c r="P20" i="3"/>
  <c r="O20" i="3"/>
  <c r="Q19" i="3"/>
  <c r="P19" i="3"/>
  <c r="O19" i="3"/>
  <c r="Q7" i="3"/>
  <c r="P7" i="3"/>
  <c r="Q204" i="3"/>
  <c r="S204" i="3" s="1"/>
  <c r="O204" i="3"/>
  <c r="Q201" i="3"/>
  <c r="Q200" i="3"/>
  <c r="O200" i="3"/>
  <c r="Q196" i="3"/>
  <c r="S196" i="3" s="1"/>
  <c r="P196" i="3"/>
  <c r="P195" i="3"/>
  <c r="P194" i="3"/>
  <c r="P193" i="3"/>
  <c r="Q189" i="3"/>
  <c r="S189" i="3" s="1"/>
  <c r="O189" i="3"/>
  <c r="Q188" i="3"/>
  <c r="S188" i="3" s="1"/>
  <c r="Q144" i="3"/>
  <c r="P144" i="3"/>
  <c r="P143" i="3" s="1"/>
  <c r="O144" i="3"/>
  <c r="O67" i="3"/>
  <c r="O66" i="3"/>
  <c r="P76" i="3"/>
  <c r="O76" i="3"/>
  <c r="L231" i="3"/>
  <c r="Y224" i="3"/>
  <c r="Q214" i="3"/>
  <c r="O214" i="3"/>
  <c r="Q213" i="3"/>
  <c r="O213" i="3"/>
  <c r="Q212" i="3"/>
  <c r="P211" i="3"/>
  <c r="P205" i="3"/>
  <c r="L47" i="3"/>
  <c r="Q11" i="3"/>
  <c r="P11" i="3"/>
  <c r="O11" i="3"/>
  <c r="Q10" i="3"/>
  <c r="P10" i="3"/>
  <c r="O10" i="3"/>
  <c r="P17" i="3"/>
  <c r="Q14" i="3"/>
  <c r="P14" i="3"/>
  <c r="O14" i="3"/>
  <c r="Q12" i="3"/>
  <c r="O12" i="3"/>
  <c r="H176" i="1"/>
  <c r="H177" i="1"/>
  <c r="H179" i="1"/>
  <c r="P52" i="3"/>
  <c r="Q52" i="3"/>
  <c r="P54" i="3"/>
  <c r="Q54" i="3"/>
  <c r="O52" i="3"/>
  <c r="O54" i="3"/>
  <c r="O94" i="3"/>
  <c r="P94" i="3"/>
  <c r="Q94" i="3"/>
  <c r="P95" i="3"/>
  <c r="Q95" i="3"/>
  <c r="O95" i="3"/>
  <c r="Q88" i="3"/>
  <c r="Q89" i="3"/>
  <c r="Q87" i="3"/>
  <c r="P88" i="3"/>
  <c r="P89" i="3"/>
  <c r="P87" i="3"/>
  <c r="O89" i="3"/>
  <c r="O87" i="3"/>
  <c r="Q210" i="3"/>
  <c r="Q209" i="3" s="1"/>
  <c r="J176" i="1"/>
  <c r="J177" i="1"/>
  <c r="P172" i="3"/>
  <c r="L140" i="3"/>
  <c r="Q131" i="3"/>
  <c r="L127" i="3"/>
  <c r="P120" i="3"/>
  <c r="L93" i="3"/>
  <c r="L65" i="3"/>
  <c r="L62" i="3"/>
  <c r="H262" i="3"/>
  <c r="F262" i="3"/>
  <c r="B262" i="3"/>
  <c r="D262" i="3"/>
  <c r="O30" i="3"/>
  <c r="Y70" i="3" l="1"/>
  <c r="U70" i="3"/>
  <c r="T70" i="3" s="1"/>
  <c r="Q215" i="3"/>
  <c r="U235" i="3"/>
  <c r="T235" i="3" s="1"/>
  <c r="Q162" i="3"/>
  <c r="S162" i="3" s="1"/>
  <c r="Q164" i="3"/>
  <c r="Q161" i="3" s="1"/>
  <c r="Q107" i="3"/>
  <c r="Q106" i="3"/>
  <c r="Q125" i="3"/>
  <c r="Q103" i="3"/>
  <c r="Q102" i="3"/>
  <c r="O211" i="3"/>
  <c r="Y219" i="3"/>
  <c r="I69" i="7" s="1"/>
  <c r="S236" i="3"/>
  <c r="S232" i="3" s="1"/>
  <c r="R236" i="3"/>
  <c r="R232" i="3" s="1"/>
  <c r="P168" i="3"/>
  <c r="O116" i="3"/>
  <c r="O113" i="3" s="1"/>
  <c r="U24" i="3"/>
  <c r="T24" i="3" s="1"/>
  <c r="U16" i="3"/>
  <c r="T16" i="3" s="1"/>
  <c r="Q211" i="3"/>
  <c r="O181" i="3"/>
  <c r="O205" i="3"/>
  <c r="U179" i="3"/>
  <c r="T179" i="3" s="1"/>
  <c r="U207" i="3"/>
  <c r="T207" i="3" s="1"/>
  <c r="P181" i="3"/>
  <c r="Q205" i="3"/>
  <c r="Q181" i="3"/>
  <c r="U177" i="3"/>
  <c r="T177" i="3" s="1"/>
  <c r="U178" i="3"/>
  <c r="T178" i="3" s="1"/>
  <c r="U174" i="3"/>
  <c r="T174" i="3" s="1"/>
  <c r="U175" i="3"/>
  <c r="T175" i="3" s="1"/>
  <c r="O143" i="3"/>
  <c r="U151" i="3"/>
  <c r="T151" i="3" s="1"/>
  <c r="S144" i="3"/>
  <c r="S143" i="3" s="1"/>
  <c r="R144" i="3"/>
  <c r="R143" i="3" s="1"/>
  <c r="Q143" i="3"/>
  <c r="R180" i="3"/>
  <c r="S180" i="3"/>
  <c r="R148" i="3"/>
  <c r="S148" i="3"/>
  <c r="S212" i="3"/>
  <c r="R212" i="3"/>
  <c r="S169" i="3"/>
  <c r="R169" i="3"/>
  <c r="S186" i="3"/>
  <c r="R186" i="3"/>
  <c r="S141" i="3"/>
  <c r="S140" i="3" s="1"/>
  <c r="R141" i="3"/>
  <c r="R140" i="3" s="1"/>
  <c r="S170" i="3"/>
  <c r="R170" i="3"/>
  <c r="R242" i="3"/>
  <c r="R241" i="3" s="1"/>
  <c r="S242" i="3"/>
  <c r="S241" i="3" s="1"/>
  <c r="U129" i="3"/>
  <c r="T129" i="3" s="1"/>
  <c r="U130" i="3"/>
  <c r="T130" i="3" s="1"/>
  <c r="S213" i="3"/>
  <c r="R213" i="3"/>
  <c r="S136" i="3"/>
  <c r="R136" i="3"/>
  <c r="S150" i="3"/>
  <c r="R150" i="3"/>
  <c r="S173" i="3"/>
  <c r="R173" i="3"/>
  <c r="S183" i="3"/>
  <c r="R183" i="3"/>
  <c r="S137" i="3"/>
  <c r="R137" i="3"/>
  <c r="R151" i="3"/>
  <c r="S151" i="3"/>
  <c r="S229" i="3"/>
  <c r="S228" i="3" s="1"/>
  <c r="R229" i="3"/>
  <c r="R228" i="3" s="1"/>
  <c r="S149" i="3"/>
  <c r="R149" i="3"/>
  <c r="S208" i="3"/>
  <c r="R208" i="3"/>
  <c r="S210" i="3"/>
  <c r="S209" i="3" s="1"/>
  <c r="R210" i="3"/>
  <c r="R209" i="3" s="1"/>
  <c r="S214" i="3"/>
  <c r="R214" i="3"/>
  <c r="S166" i="3"/>
  <c r="R166" i="3"/>
  <c r="R176" i="3"/>
  <c r="S176" i="3"/>
  <c r="R139" i="3"/>
  <c r="S139" i="3"/>
  <c r="S206" i="3"/>
  <c r="R206" i="3"/>
  <c r="S182" i="3"/>
  <c r="R182" i="3"/>
  <c r="Q140" i="3"/>
  <c r="P140" i="3"/>
  <c r="O140" i="3"/>
  <c r="R138" i="3"/>
  <c r="S138" i="3"/>
  <c r="O135" i="3"/>
  <c r="Q135" i="3"/>
  <c r="P135" i="3"/>
  <c r="R131" i="3"/>
  <c r="S131" i="3"/>
  <c r="U108" i="3"/>
  <c r="T108" i="3" s="1"/>
  <c r="U134" i="3"/>
  <c r="T134" i="3" s="1"/>
  <c r="S132" i="3"/>
  <c r="R132" i="3"/>
  <c r="S128" i="3"/>
  <c r="R128" i="3"/>
  <c r="Q127" i="3"/>
  <c r="P127" i="3"/>
  <c r="R123" i="3"/>
  <c r="S123" i="3"/>
  <c r="R118" i="3"/>
  <c r="S118" i="3"/>
  <c r="O161" i="3"/>
  <c r="S119" i="3"/>
  <c r="R119" i="3"/>
  <c r="O93" i="3"/>
  <c r="O75" i="3"/>
  <c r="P75" i="3"/>
  <c r="S88" i="3"/>
  <c r="R88" i="3"/>
  <c r="S101" i="3"/>
  <c r="R101" i="3"/>
  <c r="R92" i="3"/>
  <c r="S92" i="3"/>
  <c r="R100" i="3"/>
  <c r="S100" i="3"/>
  <c r="S112" i="3"/>
  <c r="S109" i="3" s="1"/>
  <c r="R112" i="3"/>
  <c r="R109" i="3" s="1"/>
  <c r="Q109" i="3"/>
  <c r="P117" i="3"/>
  <c r="S95" i="3"/>
  <c r="R95" i="3"/>
  <c r="S91" i="3"/>
  <c r="R91" i="3"/>
  <c r="Q90" i="3"/>
  <c r="O90" i="3"/>
  <c r="O109" i="3"/>
  <c r="S87" i="3"/>
  <c r="R87" i="3"/>
  <c r="U74" i="3"/>
  <c r="U97" i="3"/>
  <c r="Q93" i="3"/>
  <c r="S94" i="3"/>
  <c r="R94" i="3"/>
  <c r="S83" i="3"/>
  <c r="R83" i="3"/>
  <c r="Q117" i="3"/>
  <c r="P113" i="3"/>
  <c r="Q113" i="3"/>
  <c r="R113" i="3"/>
  <c r="S113" i="3"/>
  <c r="P93" i="3"/>
  <c r="Q75" i="3"/>
  <c r="S75" i="3"/>
  <c r="R75" i="3"/>
  <c r="R82" i="3"/>
  <c r="Q81" i="3"/>
  <c r="S82" i="3"/>
  <c r="O117" i="3"/>
  <c r="S89" i="3"/>
  <c r="R89" i="3"/>
  <c r="O81" i="3"/>
  <c r="Q86" i="3"/>
  <c r="O86" i="3"/>
  <c r="P86" i="3"/>
  <c r="Q198" i="3"/>
  <c r="S198" i="3" s="1"/>
  <c r="S197" i="3" s="1"/>
  <c r="Q64" i="3"/>
  <c r="Q62" i="3" s="1"/>
  <c r="Q67" i="3"/>
  <c r="Q65" i="3" s="1"/>
  <c r="R54" i="3"/>
  <c r="S54" i="3"/>
  <c r="P68" i="3"/>
  <c r="S52" i="3"/>
  <c r="R52" i="3"/>
  <c r="Q68" i="3"/>
  <c r="S70" i="3"/>
  <c r="R70" i="3"/>
  <c r="S71" i="3"/>
  <c r="R71" i="3"/>
  <c r="S55" i="3"/>
  <c r="R55" i="3"/>
  <c r="P62" i="3"/>
  <c r="O62" i="3"/>
  <c r="P65" i="3"/>
  <c r="O65" i="3"/>
  <c r="U150" i="3"/>
  <c r="T150" i="3" s="1"/>
  <c r="U30" i="3"/>
  <c r="T30" i="3" s="1"/>
  <c r="S43" i="3"/>
  <c r="R43" i="3"/>
  <c r="Q50" i="3"/>
  <c r="O50" i="3"/>
  <c r="P50" i="3"/>
  <c r="S48" i="3"/>
  <c r="R48" i="3"/>
  <c r="R46" i="3"/>
  <c r="S46" i="3"/>
  <c r="S49" i="3"/>
  <c r="R49" i="3"/>
  <c r="R45" i="3"/>
  <c r="S45" i="3"/>
  <c r="R7" i="3"/>
  <c r="S7" i="3"/>
  <c r="S21" i="3"/>
  <c r="R21" i="3"/>
  <c r="R14" i="3"/>
  <c r="S14" i="3"/>
  <c r="S33" i="3"/>
  <c r="R33" i="3"/>
  <c r="R27" i="3"/>
  <c r="S27" i="3"/>
  <c r="R19" i="3"/>
  <c r="S19" i="3"/>
  <c r="R34" i="3"/>
  <c r="S34" i="3"/>
  <c r="S36" i="3"/>
  <c r="R36" i="3"/>
  <c r="R26" i="3"/>
  <c r="S26" i="3"/>
  <c r="S25" i="3"/>
  <c r="R25" i="3"/>
  <c r="S28" i="3"/>
  <c r="R28" i="3"/>
  <c r="R37" i="3"/>
  <c r="S37" i="3"/>
  <c r="S12" i="3"/>
  <c r="R12" i="3"/>
  <c r="S20" i="3"/>
  <c r="R20" i="3"/>
  <c r="R32" i="3"/>
  <c r="S32" i="3"/>
  <c r="Q31" i="3"/>
  <c r="S11" i="3"/>
  <c r="R11" i="3"/>
  <c r="S10" i="3"/>
  <c r="R10" i="3"/>
  <c r="Q172" i="3"/>
  <c r="O172" i="3"/>
  <c r="U23" i="3"/>
  <c r="T23" i="3" s="1"/>
  <c r="U22" i="3"/>
  <c r="T22" i="3" s="1"/>
  <c r="I88" i="7"/>
  <c r="I84" i="7"/>
  <c r="I83" i="7"/>
  <c r="I73" i="7"/>
  <c r="I71" i="7"/>
  <c r="I80" i="7"/>
  <c r="I70" i="7"/>
  <c r="I78" i="7"/>
  <c r="I81" i="7"/>
  <c r="I82" i="7"/>
  <c r="I74" i="7"/>
  <c r="I79" i="7"/>
  <c r="I75" i="7"/>
  <c r="I72" i="7"/>
  <c r="U248" i="3"/>
  <c r="U249" i="3"/>
  <c r="T249" i="3" s="1"/>
  <c r="U251" i="3"/>
  <c r="T251" i="3" s="1"/>
  <c r="U250" i="3"/>
  <c r="T250" i="3" s="1"/>
  <c r="U252" i="3"/>
  <c r="U244" i="3"/>
  <c r="U243" i="3" s="1"/>
  <c r="S155" i="3"/>
  <c r="U78" i="3"/>
  <c r="T78" i="3" s="1"/>
  <c r="U88" i="3"/>
  <c r="T88" i="3" s="1"/>
  <c r="U144" i="3"/>
  <c r="U26" i="3"/>
  <c r="T26" i="3" s="1"/>
  <c r="U87" i="3"/>
  <c r="U212" i="3"/>
  <c r="U80" i="3"/>
  <c r="U94" i="3"/>
  <c r="U204" i="3"/>
  <c r="T204" i="3" s="1"/>
  <c r="U35" i="3"/>
  <c r="T35" i="3" s="1"/>
  <c r="U48" i="3"/>
  <c r="U169" i="3"/>
  <c r="U180" i="3"/>
  <c r="T180" i="3" s="1"/>
  <c r="U183" i="3"/>
  <c r="T183" i="3" s="1"/>
  <c r="U32" i="3"/>
  <c r="U136" i="3"/>
  <c r="U163" i="3"/>
  <c r="T163" i="3" s="1"/>
  <c r="U234" i="3"/>
  <c r="T234" i="3" s="1"/>
  <c r="U91" i="3"/>
  <c r="U79" i="3"/>
  <c r="T79" i="3" s="1"/>
  <c r="U37" i="3"/>
  <c r="T37" i="3" s="1"/>
  <c r="U137" i="3"/>
  <c r="T137" i="3" s="1"/>
  <c r="U146" i="3"/>
  <c r="T146" i="3" s="1"/>
  <c r="U157" i="3"/>
  <c r="T157" i="3" s="1"/>
  <c r="U162" i="3"/>
  <c r="U112" i="3"/>
  <c r="T112" i="3" s="1"/>
  <c r="U148" i="3"/>
  <c r="T148" i="3" s="1"/>
  <c r="U27" i="3"/>
  <c r="T27" i="3" s="1"/>
  <c r="U171" i="3"/>
  <c r="T171" i="3" s="1"/>
  <c r="U229" i="3"/>
  <c r="U83" i="3"/>
  <c r="T83" i="3" s="1"/>
  <c r="U110" i="3"/>
  <c r="U213" i="3"/>
  <c r="T213" i="3" s="1"/>
  <c r="U121" i="3"/>
  <c r="U159" i="3"/>
  <c r="T159" i="3" s="1"/>
  <c r="U104" i="3"/>
  <c r="T104" i="3" s="1"/>
  <c r="U158" i="3"/>
  <c r="T158" i="3" s="1"/>
  <c r="U198" i="3"/>
  <c r="T198" i="3" s="1"/>
  <c r="U202" i="3"/>
  <c r="T202" i="3" s="1"/>
  <c r="U203" i="3"/>
  <c r="T203" i="3" s="1"/>
  <c r="U114" i="3"/>
  <c r="U45" i="3"/>
  <c r="T45" i="3" s="1"/>
  <c r="U17" i="3"/>
  <c r="T17" i="3" s="1"/>
  <c r="U46" i="3"/>
  <c r="T46" i="3" s="1"/>
  <c r="U128" i="3"/>
  <c r="U42" i="3"/>
  <c r="U145" i="3"/>
  <c r="T145" i="3" s="1"/>
  <c r="U115" i="3"/>
  <c r="T115" i="3" s="1"/>
  <c r="U126" i="3"/>
  <c r="T126" i="3" s="1"/>
  <c r="U33" i="3"/>
  <c r="T33" i="3" s="1"/>
  <c r="U18" i="3"/>
  <c r="T18" i="3" s="1"/>
  <c r="U164" i="3"/>
  <c r="T164" i="3" s="1"/>
  <c r="U15" i="3"/>
  <c r="T15" i="3" s="1"/>
  <c r="U226" i="3"/>
  <c r="U51" i="3"/>
  <c r="U107" i="3"/>
  <c r="T107" i="3" s="1"/>
  <c r="U106" i="3"/>
  <c r="T106" i="3" s="1"/>
  <c r="U56" i="3"/>
  <c r="T56" i="3" s="1"/>
  <c r="U111" i="3"/>
  <c r="T111" i="3" s="1"/>
  <c r="U39" i="3"/>
  <c r="U73" i="3"/>
  <c r="T73" i="3" s="1"/>
  <c r="U141" i="3"/>
  <c r="U142" i="3"/>
  <c r="T142" i="3" s="1"/>
  <c r="U242" i="3"/>
  <c r="U64" i="3"/>
  <c r="T64" i="3" s="1"/>
  <c r="U154" i="3"/>
  <c r="T154" i="3" s="1"/>
  <c r="U195" i="3"/>
  <c r="T195" i="3" s="1"/>
  <c r="U193" i="3"/>
  <c r="T193" i="3" s="1"/>
  <c r="U191" i="3"/>
  <c r="T191" i="3" s="1"/>
  <c r="U125" i="3"/>
  <c r="T125" i="3" s="1"/>
  <c r="U155" i="3"/>
  <c r="T155" i="3" s="1"/>
  <c r="U29" i="3"/>
  <c r="T29" i="3" s="1"/>
  <c r="U230" i="3"/>
  <c r="T230" i="3" s="1"/>
  <c r="U76" i="3"/>
  <c r="T76" i="3" s="1"/>
  <c r="U19" i="3"/>
  <c r="T19" i="3" s="1"/>
  <c r="U173" i="3"/>
  <c r="U210" i="3"/>
  <c r="U182" i="3"/>
  <c r="U28" i="3"/>
  <c r="T28" i="3" s="1"/>
  <c r="U200" i="3"/>
  <c r="T200" i="3" s="1"/>
  <c r="U25" i="3"/>
  <c r="T25" i="3" s="1"/>
  <c r="U82" i="3"/>
  <c r="U118" i="3"/>
  <c r="U36" i="3"/>
  <c r="T36" i="3" s="1"/>
  <c r="U214" i="3"/>
  <c r="T214" i="3" s="1"/>
  <c r="U14" i="3"/>
  <c r="U206" i="3"/>
  <c r="U77" i="3"/>
  <c r="T77" i="3" s="1"/>
  <c r="U66" i="3"/>
  <c r="U189" i="3"/>
  <c r="T189" i="3" s="1"/>
  <c r="U34" i="3"/>
  <c r="T34" i="3" s="1"/>
  <c r="U138" i="3"/>
  <c r="T138" i="3" s="1"/>
  <c r="U176" i="3"/>
  <c r="T176" i="3" s="1"/>
  <c r="U100" i="3"/>
  <c r="U21" i="3"/>
  <c r="T21" i="3" s="1"/>
  <c r="U139" i="3"/>
  <c r="T139" i="3" s="1"/>
  <c r="U208" i="3"/>
  <c r="T208" i="3" s="1"/>
  <c r="U67" i="3"/>
  <c r="T67" i="3" s="1"/>
  <c r="U20" i="3"/>
  <c r="T20" i="3" s="1"/>
  <c r="S160" i="3"/>
  <c r="R160" i="3"/>
  <c r="O232" i="3"/>
  <c r="U233" i="3"/>
  <c r="U119" i="3"/>
  <c r="T119" i="3" s="1"/>
  <c r="U149" i="3"/>
  <c r="R191" i="3"/>
  <c r="R196" i="3"/>
  <c r="R192" i="3" s="1"/>
  <c r="S192" i="3"/>
  <c r="Q192" i="3"/>
  <c r="Q190" i="3" s="1"/>
  <c r="R157" i="3"/>
  <c r="R188" i="3"/>
  <c r="O201" i="3"/>
  <c r="O199" i="3" s="1"/>
  <c r="R159" i="3"/>
  <c r="Q232" i="3"/>
  <c r="R200" i="3"/>
  <c r="Q199" i="3"/>
  <c r="S200" i="3"/>
  <c r="P237" i="3"/>
  <c r="R189" i="3"/>
  <c r="R201" i="3"/>
  <c r="S201" i="3"/>
  <c r="R153" i="3"/>
  <c r="P199" i="3"/>
  <c r="P192" i="3"/>
  <c r="P190" i="3" s="1"/>
  <c r="R155" i="3"/>
  <c r="P232" i="3"/>
  <c r="R204" i="3"/>
  <c r="S240" i="3"/>
  <c r="S237" i="3" s="1"/>
  <c r="R240" i="3"/>
  <c r="R237" i="3" s="1"/>
  <c r="Q237" i="3"/>
  <c r="O279" i="3"/>
  <c r="P44" i="3"/>
  <c r="P41" i="3" s="1"/>
  <c r="Q156" i="3"/>
  <c r="Q152" i="3"/>
  <c r="O156" i="3"/>
  <c r="Q44" i="3"/>
  <c r="H283" i="3"/>
  <c r="F283" i="3" s="1"/>
  <c r="H282" i="3"/>
  <c r="F282" i="3" s="1"/>
  <c r="H281" i="3"/>
  <c r="F281" i="3" s="1"/>
  <c r="H280" i="3"/>
  <c r="F280" i="3" s="1"/>
  <c r="O268" i="3"/>
  <c r="I49" i="9"/>
  <c r="J180" i="1"/>
  <c r="Q39" i="3"/>
  <c r="Q6" i="3"/>
  <c r="O6" i="3"/>
  <c r="P47" i="3"/>
  <c r="Q47" i="3"/>
  <c r="O41" i="3"/>
  <c r="O47" i="3"/>
  <c r="O31" i="3"/>
  <c r="P6" i="3"/>
  <c r="O170" i="3"/>
  <c r="O168" i="3" s="1"/>
  <c r="O131" i="3"/>
  <c r="U131" i="3" s="1"/>
  <c r="T131" i="3" s="1"/>
  <c r="U63" i="3"/>
  <c r="O68" i="3"/>
  <c r="O238" i="3"/>
  <c r="U238" i="3" s="1"/>
  <c r="T238" i="3" s="1"/>
  <c r="O240" i="3"/>
  <c r="O196" i="3"/>
  <c r="U196" i="3" s="1"/>
  <c r="T196" i="3" s="1"/>
  <c r="U227" i="3"/>
  <c r="T227" i="3" s="1"/>
  <c r="Q105" i="3"/>
  <c r="Q40" i="3"/>
  <c r="Q122" i="3"/>
  <c r="O194" i="3"/>
  <c r="U194" i="3" s="1"/>
  <c r="T194" i="3" s="1"/>
  <c r="O153" i="3"/>
  <c r="U153" i="3" s="1"/>
  <c r="T153" i="3" s="1"/>
  <c r="O239" i="3"/>
  <c r="U239" i="3" s="1"/>
  <c r="T239" i="3" s="1"/>
  <c r="O105" i="3"/>
  <c r="U105" i="3" s="1"/>
  <c r="T105" i="3" s="1"/>
  <c r="Q85" i="3"/>
  <c r="H180" i="1"/>
  <c r="O188" i="3"/>
  <c r="U188" i="3" s="1"/>
  <c r="O132" i="3"/>
  <c r="U132" i="3" s="1"/>
  <c r="T132" i="3" s="1"/>
  <c r="O101" i="3"/>
  <c r="O122" i="3"/>
  <c r="U122" i="3" s="1"/>
  <c r="T122" i="3" s="1"/>
  <c r="Q126" i="3"/>
  <c r="Q171" i="3"/>
  <c r="Q168" i="3" s="1"/>
  <c r="P147" i="3"/>
  <c r="P220" i="3"/>
  <c r="O215" i="3" l="1"/>
  <c r="P215" i="3"/>
  <c r="R181" i="3"/>
  <c r="S181" i="3"/>
  <c r="P231" i="3"/>
  <c r="R162" i="3"/>
  <c r="Q99" i="3"/>
  <c r="R106" i="3"/>
  <c r="S106" i="3"/>
  <c r="R107" i="3"/>
  <c r="S107" i="3"/>
  <c r="R164" i="3"/>
  <c r="S164" i="3"/>
  <c r="Q185" i="3"/>
  <c r="R185" i="3" s="1"/>
  <c r="Q197" i="3"/>
  <c r="R198" i="3"/>
  <c r="R197" i="3" s="1"/>
  <c r="S268" i="3"/>
  <c r="O13" i="7" s="1"/>
  <c r="O37" i="7" s="1"/>
  <c r="Q147" i="3"/>
  <c r="Q231" i="3"/>
  <c r="S231" i="3"/>
  <c r="R81" i="3"/>
  <c r="R211" i="3"/>
  <c r="R231" i="3"/>
  <c r="S211" i="3"/>
  <c r="R205" i="3"/>
  <c r="S205" i="3"/>
  <c r="R135" i="3"/>
  <c r="S90" i="3"/>
  <c r="R86" i="3"/>
  <c r="S93" i="3"/>
  <c r="R90" i="3"/>
  <c r="S86" i="3"/>
  <c r="S127" i="3"/>
  <c r="S135" i="3"/>
  <c r="T91" i="3"/>
  <c r="T90" i="3" s="1"/>
  <c r="U90" i="3"/>
  <c r="T48" i="3"/>
  <c r="T47" i="3" s="1"/>
  <c r="U47" i="3"/>
  <c r="T206" i="3"/>
  <c r="T205" i="3" s="1"/>
  <c r="U205" i="3"/>
  <c r="T242" i="3"/>
  <c r="T241" i="3" s="1"/>
  <c r="U241" i="3"/>
  <c r="S171" i="3"/>
  <c r="S168" i="3" s="1"/>
  <c r="R171" i="3"/>
  <c r="R168" i="3" s="1"/>
  <c r="R127" i="3"/>
  <c r="T233" i="3"/>
  <c r="U231" i="3"/>
  <c r="T121" i="3"/>
  <c r="T120" i="3" s="1"/>
  <c r="U120" i="3"/>
  <c r="T169" i="3"/>
  <c r="T63" i="3"/>
  <c r="T62" i="3" s="1"/>
  <c r="U62" i="3"/>
  <c r="T114" i="3"/>
  <c r="T100" i="3"/>
  <c r="U6" i="3"/>
  <c r="T51" i="3"/>
  <c r="T50" i="3" s="1"/>
  <c r="U50" i="3"/>
  <c r="T162" i="3"/>
  <c r="T161" i="3" s="1"/>
  <c r="U161" i="3"/>
  <c r="T182" i="3"/>
  <c r="T181" i="3" s="1"/>
  <c r="U181" i="3"/>
  <c r="T141" i="3"/>
  <c r="T140" i="3" s="1"/>
  <c r="U140" i="3"/>
  <c r="T226" i="3"/>
  <c r="T225" i="3" s="1"/>
  <c r="U225" i="3"/>
  <c r="T42" i="3"/>
  <c r="T41" i="3" s="1"/>
  <c r="U41" i="3"/>
  <c r="T110" i="3"/>
  <c r="T109" i="3" s="1"/>
  <c r="U109" i="3"/>
  <c r="T248" i="3"/>
  <c r="U247" i="3"/>
  <c r="T210" i="3"/>
  <c r="T209" i="3" s="1"/>
  <c r="U209" i="3"/>
  <c r="T128" i="3"/>
  <c r="T127" i="3" s="1"/>
  <c r="U127" i="3"/>
  <c r="T136" i="3"/>
  <c r="T135" i="3" s="1"/>
  <c r="U135" i="3"/>
  <c r="T94" i="3"/>
  <c r="T93" i="3" s="1"/>
  <c r="U93" i="3"/>
  <c r="T118" i="3"/>
  <c r="T117" i="3" s="1"/>
  <c r="U117" i="3"/>
  <c r="T173" i="3"/>
  <c r="T172" i="3" s="1"/>
  <c r="U172" i="3"/>
  <c r="T39" i="3"/>
  <c r="T38" i="3" s="1"/>
  <c r="U38" i="3"/>
  <c r="T229" i="3"/>
  <c r="T228" i="3" s="1"/>
  <c r="U228" i="3"/>
  <c r="T32" i="3"/>
  <c r="T31" i="3" s="1"/>
  <c r="U31" i="3"/>
  <c r="T80" i="3"/>
  <c r="T75" i="3" s="1"/>
  <c r="U75" i="3"/>
  <c r="T82" i="3"/>
  <c r="T81" i="3" s="1"/>
  <c r="U81" i="3"/>
  <c r="T212" i="3"/>
  <c r="T211" i="3" s="1"/>
  <c r="U211" i="3"/>
  <c r="T74" i="3"/>
  <c r="T68" i="3" s="1"/>
  <c r="U68" i="3"/>
  <c r="T188" i="3"/>
  <c r="T184" i="3" s="1"/>
  <c r="U184" i="3"/>
  <c r="T66" i="3"/>
  <c r="T65" i="3" s="1"/>
  <c r="U65" i="3"/>
  <c r="T87" i="3"/>
  <c r="T86" i="3" s="1"/>
  <c r="U86" i="3"/>
  <c r="T149" i="3"/>
  <c r="T147" i="3" s="1"/>
  <c r="U147" i="3"/>
  <c r="T144" i="3"/>
  <c r="T143" i="3" s="1"/>
  <c r="U143" i="3"/>
  <c r="O127" i="3"/>
  <c r="S125" i="3"/>
  <c r="R125" i="3"/>
  <c r="O120" i="3"/>
  <c r="S122" i="3"/>
  <c r="R122" i="3"/>
  <c r="R126" i="3"/>
  <c r="S126" i="3"/>
  <c r="S163" i="3"/>
  <c r="R163" i="3"/>
  <c r="O99" i="3"/>
  <c r="R84" i="3"/>
  <c r="Q84" i="3"/>
  <c r="O84" i="3"/>
  <c r="P84" i="3"/>
  <c r="S84" i="3"/>
  <c r="T97" i="3"/>
  <c r="T96" i="3" s="1"/>
  <c r="S105" i="3"/>
  <c r="R105" i="3"/>
  <c r="S117" i="3"/>
  <c r="R117" i="3"/>
  <c r="S81" i="3"/>
  <c r="R93" i="3"/>
  <c r="S103" i="3"/>
  <c r="R103" i="3"/>
  <c r="S102" i="3"/>
  <c r="R102" i="3"/>
  <c r="S108" i="3"/>
  <c r="R108" i="3"/>
  <c r="S85" i="3"/>
  <c r="R85" i="3"/>
  <c r="S68" i="3"/>
  <c r="S67" i="3"/>
  <c r="S65" i="3" s="1"/>
  <c r="R67" i="3"/>
  <c r="R65" i="3" s="1"/>
  <c r="S64" i="3"/>
  <c r="S62" i="3" s="1"/>
  <c r="R64" i="3"/>
  <c r="R62" i="3" s="1"/>
  <c r="R50" i="3"/>
  <c r="S50" i="3"/>
  <c r="R68" i="3"/>
  <c r="S6" i="3"/>
  <c r="S31" i="3"/>
  <c r="R47" i="3"/>
  <c r="S47" i="3" s="1"/>
  <c r="S39" i="3"/>
  <c r="R39" i="3"/>
  <c r="S40" i="3"/>
  <c r="R40" i="3"/>
  <c r="Q41" i="3"/>
  <c r="S44" i="3"/>
  <c r="S41" i="3" s="1"/>
  <c r="R44" i="3"/>
  <c r="R41" i="3" s="1"/>
  <c r="R31" i="3"/>
  <c r="R6" i="3"/>
  <c r="S172" i="3"/>
  <c r="R172" i="3"/>
  <c r="L5" i="3"/>
  <c r="T244" i="3"/>
  <c r="T243" i="3" s="1"/>
  <c r="T252" i="3"/>
  <c r="T247" i="3" s="1"/>
  <c r="I86" i="7"/>
  <c r="I76" i="7"/>
  <c r="U156" i="3"/>
  <c r="T156" i="3" s="1"/>
  <c r="U170" i="3"/>
  <c r="T170" i="3" s="1"/>
  <c r="T14" i="3"/>
  <c r="T6" i="3" s="1"/>
  <c r="U102" i="3"/>
  <c r="T102" i="3" s="1"/>
  <c r="U116" i="3"/>
  <c r="T116" i="3" s="1"/>
  <c r="S199" i="3"/>
  <c r="P184" i="3"/>
  <c r="O237" i="3"/>
  <c r="O231" i="3" s="1"/>
  <c r="T192" i="3"/>
  <c r="U192" i="3"/>
  <c r="U190" i="3" s="1"/>
  <c r="R199" i="3"/>
  <c r="U232" i="3"/>
  <c r="R190" i="3"/>
  <c r="S190" i="3"/>
  <c r="R152" i="3"/>
  <c r="Q124" i="3"/>
  <c r="R156" i="3"/>
  <c r="H268" i="3"/>
  <c r="D269" i="3"/>
  <c r="O49" i="9"/>
  <c r="Q38" i="3"/>
  <c r="O192" i="3"/>
  <c r="O190" i="3" s="1"/>
  <c r="O184" i="3" s="1"/>
  <c r="O152" i="3"/>
  <c r="O147" i="3" s="1"/>
  <c r="L13" i="7"/>
  <c r="L37" i="7" s="1"/>
  <c r="T199" i="3"/>
  <c r="U199" i="3"/>
  <c r="U197" i="3" s="1"/>
  <c r="H13" i="7"/>
  <c r="S185" i="3" l="1"/>
  <c r="T268" i="3"/>
  <c r="Q13" i="7" s="1"/>
  <c r="S161" i="3"/>
  <c r="Q184" i="3"/>
  <c r="R161" i="3"/>
  <c r="R147" i="3"/>
  <c r="U168" i="3"/>
  <c r="T168" i="3"/>
  <c r="T99" i="3"/>
  <c r="T232" i="3"/>
  <c r="T231" i="3"/>
  <c r="T113" i="3"/>
  <c r="T165" i="3"/>
  <c r="O165" i="3"/>
  <c r="U113" i="3"/>
  <c r="U99" i="3"/>
  <c r="U165" i="3"/>
  <c r="S121" i="3"/>
  <c r="Q120" i="3"/>
  <c r="R121" i="3"/>
  <c r="S99" i="3"/>
  <c r="S124" i="3"/>
  <c r="R124" i="3"/>
  <c r="R99" i="3"/>
  <c r="R38" i="3"/>
  <c r="S38" i="3"/>
  <c r="I89" i="7"/>
  <c r="D271" i="3"/>
  <c r="Q271" i="3" s="1"/>
  <c r="H37" i="7"/>
  <c r="R184" i="3"/>
  <c r="T190" i="3"/>
  <c r="S184" i="3"/>
  <c r="T237" i="3"/>
  <c r="U237" i="3"/>
  <c r="T197" i="3"/>
  <c r="S152" i="3"/>
  <c r="U269" i="3"/>
  <c r="Q38" i="7" s="1"/>
  <c r="S156" i="3"/>
  <c r="U268" i="3"/>
  <c r="T269" i="3"/>
  <c r="U152" i="3"/>
  <c r="T152" i="3" s="1"/>
  <c r="H14" i="7"/>
  <c r="H38" i="7" s="1"/>
  <c r="S269" i="3"/>
  <c r="O14" i="7" s="1"/>
  <c r="O38" i="7" s="1"/>
  <c r="O269" i="3"/>
  <c r="J13" i="7"/>
  <c r="S147" i="3" l="1"/>
  <c r="O271" i="3"/>
  <c r="H271" i="3" s="1"/>
  <c r="F271" i="3" s="1"/>
  <c r="T271" i="3"/>
  <c r="P165" i="3"/>
  <c r="P5" i="3" s="1"/>
  <c r="R120" i="3"/>
  <c r="S120" i="3"/>
  <c r="Q37" i="7"/>
  <c r="U271" i="3"/>
  <c r="S271" i="3"/>
  <c r="H15" i="7"/>
  <c r="M15" i="7" s="1"/>
  <c r="J37" i="7"/>
  <c r="H39" i="7"/>
  <c r="O39" i="7" s="1"/>
  <c r="Q14" i="7"/>
  <c r="H269" i="3"/>
  <c r="L14" i="7"/>
  <c r="L38" i="7" s="1"/>
  <c r="F268" i="3"/>
  <c r="Q165" i="3" l="1"/>
  <c r="Q15" i="7"/>
  <c r="L39" i="7"/>
  <c r="Q39" i="7"/>
  <c r="O15" i="7"/>
  <c r="M39" i="7"/>
  <c r="L15" i="7"/>
  <c r="F269" i="3"/>
  <c r="I14" i="7" s="1"/>
  <c r="I38" i="7" s="1"/>
  <c r="J14" i="7"/>
  <c r="I13" i="7"/>
  <c r="S165" i="3" l="1"/>
  <c r="R165" i="3"/>
  <c r="I37" i="7"/>
  <c r="I39" i="7" s="1"/>
  <c r="I15" i="7"/>
  <c r="J38" i="7"/>
  <c r="J39" i="7" s="1"/>
  <c r="J15" i="7"/>
  <c r="D276" i="3" l="1"/>
  <c r="Q274" i="3"/>
  <c r="M17" i="7" s="1"/>
  <c r="D274" i="3"/>
  <c r="D284" i="3" l="1"/>
  <c r="Q284" i="3" s="1"/>
  <c r="M41" i="7" s="1"/>
  <c r="M54" i="7"/>
  <c r="D286" i="3"/>
  <c r="Q276" i="3"/>
  <c r="H35" i="7"/>
  <c r="H11" i="7"/>
  <c r="Q286" i="3" l="1"/>
  <c r="H17" i="7"/>
  <c r="M11" i="7"/>
  <c r="H41" i="7"/>
  <c r="H54" i="7" l="1"/>
  <c r="M35" i="7"/>
  <c r="H58" i="7" l="1"/>
  <c r="M58" i="7" l="1"/>
  <c r="U216" i="3" l="1"/>
  <c r="U217" i="3"/>
  <c r="T217" i="3" s="1"/>
  <c r="U218" i="3"/>
  <c r="T218" i="3" s="1"/>
  <c r="T216" i="3" l="1"/>
  <c r="U219" i="3"/>
  <c r="T219" i="3" s="1"/>
  <c r="S216" i="3"/>
  <c r="R216" i="3"/>
  <c r="S217" i="3"/>
  <c r="R218" i="3"/>
  <c r="S218" i="3"/>
  <c r="R219" i="3"/>
  <c r="S219" i="3"/>
  <c r="R217" i="3"/>
  <c r="U221" i="3"/>
  <c r="T221" i="3" s="1"/>
  <c r="U224" i="3"/>
  <c r="T224" i="3" s="1"/>
  <c r="U223" i="3"/>
  <c r="T223" i="3" s="1"/>
  <c r="O220" i="3"/>
  <c r="U222" i="3"/>
  <c r="T222" i="3" s="1"/>
  <c r="O5" i="3" l="1"/>
  <c r="O274" i="3" s="1"/>
  <c r="U5" i="3"/>
  <c r="H274" i="3" s="1"/>
  <c r="U215" i="3"/>
  <c r="T215" i="3"/>
  <c r="T5" i="3"/>
  <c r="R215" i="3"/>
  <c r="S215" i="3"/>
  <c r="T220" i="3"/>
  <c r="U220" i="3"/>
  <c r="L17" i="7" l="1"/>
  <c r="L54" i="7" s="1"/>
  <c r="L58" i="7" s="1"/>
  <c r="O276" i="3"/>
  <c r="H276" i="3" s="1"/>
  <c r="F276" i="3" s="1"/>
  <c r="O284" i="3"/>
  <c r="H284" i="3" s="1"/>
  <c r="F274" i="3"/>
  <c r="V5" i="3"/>
  <c r="L41" i="7"/>
  <c r="L35" i="7" s="1"/>
  <c r="O286" i="3" l="1"/>
  <c r="H286" i="3" s="1"/>
  <c r="F286" i="3" s="1"/>
  <c r="L11" i="7"/>
  <c r="J41" i="7"/>
  <c r="F284" i="3"/>
  <c r="I41" i="7" s="1"/>
  <c r="I43" i="7" s="1"/>
  <c r="J35" i="7"/>
  <c r="J11" i="7"/>
  <c r="J17" i="7" s="1"/>
  <c r="J54" i="7" s="1"/>
  <c r="J58" i="7" s="1"/>
  <c r="I35" i="7" l="1"/>
  <c r="I11" i="7"/>
  <c r="I17" i="7" s="1"/>
  <c r="I19" i="7" s="1"/>
  <c r="I54" i="7" l="1"/>
  <c r="I58" i="7" s="1"/>
  <c r="I60" i="7" s="1"/>
  <c r="R224" i="3"/>
  <c r="S224" i="3"/>
  <c r="R222" i="3"/>
  <c r="S222" i="3"/>
  <c r="R221" i="3"/>
  <c r="S221" i="3"/>
  <c r="S223" i="3"/>
  <c r="Q220" i="3"/>
  <c r="Q5" i="3" s="1"/>
  <c r="S274" i="3" s="1"/>
  <c r="R223" i="3"/>
  <c r="S220" i="3" l="1"/>
  <c r="S5" i="3" s="1"/>
  <c r="U274" i="3" s="1"/>
  <c r="R220" i="3"/>
  <c r="R5" i="3" s="1"/>
  <c r="T274" i="3" s="1"/>
  <c r="S284" i="3"/>
  <c r="O41" i="7" s="1"/>
  <c r="O35" i="7" s="1"/>
  <c r="S276" i="3"/>
  <c r="O17" i="7"/>
  <c r="O54" i="7" s="1"/>
  <c r="O58" i="7" s="1"/>
  <c r="T284" i="3" l="1"/>
  <c r="T276" i="3"/>
  <c r="T286" i="3" s="1"/>
  <c r="U284" i="3"/>
  <c r="Q41" i="7" s="1"/>
  <c r="Q35" i="7" s="1"/>
  <c r="U276" i="3"/>
  <c r="U286" i="3" s="1"/>
  <c r="O11" i="7"/>
  <c r="S286" i="3"/>
  <c r="Q11" i="7" l="1"/>
  <c r="Q17" i="7" s="1"/>
  <c r="Q54" i="7" s="1"/>
  <c r="Q58" i="7" s="1"/>
  <c r="S41" i="7"/>
  <c r="S17" i="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HERVE URVOY DE PORTZAMPARC - U248836</author>
  </authors>
  <commentList>
    <comment ref="K17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coefficient to estimate Z of Body in White:  
0,33 in case of a BEV / PHEV
0,35 in case of a ICE / MHEV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HERVE URVOY DE PORTZAMPARC - U248836</author>
  </authors>
  <commentList>
    <comment ref="L166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Avec alternateur et demarreur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<sst xmlns="http://schemas.openxmlformats.org/spreadsheetml/2006/main" count="7946" uniqueCount="3729">
  <si>
    <t>Date</t>
  </si>
  <si>
    <t>Updates</t>
  </si>
  <si>
    <t>Who</t>
  </si>
  <si>
    <t>V1.0</t>
  </si>
  <si>
    <t>Initial release</t>
  </si>
  <si>
    <t>Hervé URVOY DE PORTZAMPARC</t>
  </si>
  <si>
    <t>V2.0</t>
  </si>
  <si>
    <t>Excel document global review :
 - Inputs updated.
- CoG formula updated.
- Z CoG compared to groung new calculation.
- Unsprung mass calculation added.
- Check ased on P64 Bev done.</t>
  </si>
  <si>
    <t>Gilles PAPET</t>
  </si>
  <si>
    <t>V3.0</t>
  </si>
  <si>
    <t>?</t>
  </si>
  <si>
    <t>V4.0</t>
  </si>
  <si>
    <t>V5.0</t>
  </si>
  <si>
    <t>Formula correction :
- Unsprung Twist beam calculation
- CoG calculation (INPUT2 - Veh Sub-Syst Mass)</t>
  </si>
  <si>
    <t>V6.0</t>
  </si>
  <si>
    <t>Update of engines generic CoG position.</t>
  </si>
  <si>
    <t>V7.0</t>
  </si>
  <si>
    <t>Deleted :
- Condenseur de clim (line 23) beacause doubling
- Front engine : M4+RGM (line 88) beacause doubling
Modified :
- Formulas of CdG Durites (line 15), Liquide de refroidissement (line 16), FACADE (line 22), LIQUIDE REFROIDISSEMENT (line 24), MEAP/Ventilateur/Radiateur/Condenseur (X only, line 141)</t>
  </si>
  <si>
    <t>Laurent BOLIVAL</t>
  </si>
  <si>
    <t>INPUTS SHEET :</t>
  </si>
  <si>
    <r>
      <rPr>
        <b/>
        <sz val="10"/>
        <rFont val="Arial"/>
        <family val="2"/>
      </rPr>
      <t>Yellow cells :</t>
    </r>
    <r>
      <rPr>
        <sz val="10"/>
        <rFont val="Arial"/>
        <family val="2"/>
      </rPr>
      <t xml:space="preserve">   A remplir avec le 5ème de ref ou données remontage véhicue remplacé / Fill with information from GAP or previous vehicule</t>
    </r>
  </si>
  <si>
    <r>
      <rPr>
        <b/>
        <sz val="10"/>
        <rFont val="Arial"/>
        <family val="2"/>
      </rPr>
      <t>Orange cells :</t>
    </r>
    <r>
      <rPr>
        <sz val="10"/>
        <rFont val="Arial"/>
        <family val="2"/>
      </rPr>
      <t xml:space="preserve">   Pour info (ne pas toucher !!) / For Your Information (don't modify!!)</t>
    </r>
  </si>
  <si>
    <r>
      <rPr>
        <b/>
        <sz val="10"/>
        <rFont val="Arial"/>
        <family val="2"/>
      </rPr>
      <t>Grey cells :</t>
    </r>
    <r>
      <rPr>
        <sz val="10"/>
        <rFont val="Arial"/>
        <family val="2"/>
      </rPr>
      <t xml:space="preserve">   Info non utile, ne pas remplir / Not used, do not fill</t>
    </r>
  </si>
  <si>
    <r>
      <rPr>
        <sz val="10"/>
        <rFont val="Arial"/>
        <family val="2"/>
      </rPr>
      <t xml:space="preserve">Source Input : </t>
    </r>
    <r>
      <rPr>
        <b/>
        <sz val="10"/>
        <rFont val="Arial"/>
        <family val="2"/>
      </rPr>
      <t>Qui?</t>
    </r>
  </si>
  <si>
    <t>Quand?</t>
  </si>
  <si>
    <t>Commentaire</t>
  </si>
  <si>
    <t>Vehicle :</t>
  </si>
  <si>
    <t>Program / Project / Version :</t>
  </si>
  <si>
    <t>STLA-S</t>
  </si>
  <si>
    <t>J1X MHEV P2 FWD</t>
  </si>
  <si>
    <t>L2</t>
  </si>
  <si>
    <t>Inputs for GVW load case estimation :</t>
  </si>
  <si>
    <t>X(mm)</t>
  </si>
  <si>
    <t>Y (mm)</t>
  </si>
  <si>
    <t>Z(mm)</t>
  </si>
  <si>
    <t>Options :   FRONT mass</t>
  </si>
  <si>
    <t>Options :   REAR mass</t>
  </si>
  <si>
    <t>Options : TOTAL mass</t>
  </si>
  <si>
    <t>Number of passengers</t>
  </si>
  <si>
    <t>Passenger mass :</t>
  </si>
  <si>
    <t>Total :</t>
  </si>
  <si>
    <t>X CoG :</t>
  </si>
  <si>
    <t>Mass Front :</t>
  </si>
  <si>
    <t>Mass Rear :</t>
  </si>
  <si>
    <t xml:space="preserve">        - Row1 passengers repartition :</t>
  </si>
  <si>
    <t xml:space="preserve">        - Row2 passengers repartition :</t>
  </si>
  <si>
    <t xml:space="preserve">        - Row3 passengers repartition :</t>
  </si>
  <si>
    <t xml:space="preserve">        - Global passengers :</t>
  </si>
  <si>
    <t xml:space="preserve">EMC / After sale payload </t>
  </si>
  <si>
    <t xml:space="preserve">        - EMC repartition</t>
  </si>
  <si>
    <t>Inputs for MREF load case estimation :</t>
  </si>
  <si>
    <t>Number of row1 passengers</t>
  </si>
  <si>
    <t>Mass of row1 passenger :</t>
  </si>
  <si>
    <t>Number of row2 passengers + Mass</t>
  </si>
  <si>
    <t>Mass of row1 passenger :  ADULT / CHILDREN</t>
  </si>
  <si>
    <t>Luggage per passenger :</t>
  </si>
  <si>
    <t>Platform :</t>
  </si>
  <si>
    <t>Empattement (mm) / wheelbase</t>
  </si>
  <si>
    <t>Données issues du 1/5e de ref   /   Inputs from the GAP (1/5e de ref)</t>
  </si>
  <si>
    <t>CHRISTOPHE KOTTMANN</t>
  </si>
  <si>
    <t>Hauteur Vh en ODM / Vehicule Height in ODM</t>
  </si>
  <si>
    <t>PàF Av (mm) / Front OverHang</t>
  </si>
  <si>
    <t>PàF Ar (mm)  / Rear OverHang</t>
  </si>
  <si>
    <t>Voies / Wheel track</t>
  </si>
  <si>
    <t>Front :</t>
  </si>
  <si>
    <t>Rear :</t>
  </si>
  <si>
    <t>Largeur / Body width</t>
  </si>
  <si>
    <t>Rang 1 / Row1 :</t>
  </si>
  <si>
    <t>Point Hx Rang 1 / Hx Point row 1</t>
  </si>
  <si>
    <t>Talon / Acc heel Point</t>
  </si>
  <si>
    <t>Cote essieu pédale / Axle Pedal dist.</t>
  </si>
  <si>
    <t>Point V1 / V1 point</t>
  </si>
  <si>
    <t>Point V2 / V2 point</t>
  </si>
  <si>
    <t>Rang 2 / row 2 :</t>
  </si>
  <si>
    <t>Point R Rang 2  / R point row 2</t>
  </si>
  <si>
    <t>Rang 3 / Row 3 :</t>
  </si>
  <si>
    <t>Point Hx Rang 3 / Hx Point row 3</t>
  </si>
  <si>
    <t>Hauteur d'assise</t>
  </si>
  <si>
    <t>Positions of elements :</t>
  </si>
  <si>
    <t>Réservoir / fuel tank</t>
  </si>
  <si>
    <t>Coffre bagage / trunk</t>
  </si>
  <si>
    <t>Axles :</t>
  </si>
  <si>
    <t>Essieu Avant / Front axle</t>
  </si>
  <si>
    <t xml:space="preserve">   - CdR Av Réf / FWC (ref)</t>
  </si>
  <si>
    <t xml:space="preserve">   - Z0 sol M-REF / Ground Z0 position for REF load case</t>
  </si>
  <si>
    <t xml:space="preserve">   - Z0 sol MAV / Groud Z0 for Kerb load case</t>
  </si>
  <si>
    <t xml:space="preserve">   - Z0 sol MTAC / Groud Z0 for GVW load case</t>
  </si>
  <si>
    <t xml:space="preserve">        - REF load case : Front passengers</t>
  </si>
  <si>
    <t xml:space="preserve">        - REF load case : Rear passengers</t>
  </si>
  <si>
    <t xml:space="preserve">        - REF load case : Luggage</t>
  </si>
  <si>
    <t xml:space="preserve">        - Global :  (MAV versus M_Ref)</t>
  </si>
  <si>
    <t>Essieu Arrière / Rear axle</t>
  </si>
  <si>
    <t xml:space="preserve">   - CdR Ar Réf / RWC (ref)</t>
  </si>
  <si>
    <t>Rear axle type (TwistedBeam or MultiLink)</t>
  </si>
  <si>
    <t>Twisted Beam</t>
  </si>
  <si>
    <t>Wheels</t>
  </si>
  <si>
    <t>u_</t>
  </si>
  <si>
    <t>Pneu / Tyre</t>
  </si>
  <si>
    <t>235/60R17</t>
  </si>
  <si>
    <t>Wheel Outer Diameter</t>
  </si>
  <si>
    <t>Front (mm) :</t>
  </si>
  <si>
    <t>Rear (mm) :</t>
  </si>
  <si>
    <t>R sous charge / Laden Radius</t>
  </si>
  <si>
    <t>Engines :</t>
  </si>
  <si>
    <t>Front Engine</t>
  </si>
  <si>
    <t>M4 + RGM</t>
  </si>
  <si>
    <t xml:space="preserve">Rear engine : </t>
  </si>
  <si>
    <t>eRAD Gen2</t>
  </si>
  <si>
    <t>Positions of sub systems</t>
  </si>
  <si>
    <t>Lot A</t>
  </si>
  <si>
    <t>Batterie traction / HV Battery    *(BEV/PHEV/MHEV)</t>
  </si>
  <si>
    <t>Données issues d'un véhicule remplacé sur même PF   /   Inputs from a previous vehicle on same plateform</t>
  </si>
  <si>
    <t>OBC  / On Board Charger     *(BEV / PHEV)</t>
  </si>
  <si>
    <t xml:space="preserve">DCDC     *  (MHEV)    </t>
  </si>
  <si>
    <t>inclus</t>
  </si>
  <si>
    <t>Assistance de direction / Power Steering</t>
  </si>
  <si>
    <t>Batterie 12v / 12V Battery</t>
  </si>
  <si>
    <t>Reservoir liquide refroidissement / Coolant liquid tank</t>
  </si>
  <si>
    <t>Bocal lave vitre / Washer tank</t>
  </si>
  <si>
    <t>Colonne direction  / Direction</t>
  </si>
  <si>
    <t>Echappement / Exhaust Line</t>
  </si>
  <si>
    <t>NA</t>
  </si>
  <si>
    <t>Groupe clim   /     HVAC</t>
  </si>
  <si>
    <t>ISOVAC (AMCT) / Brake Booster</t>
  </si>
  <si>
    <t>Pédalier / Pedals</t>
  </si>
  <si>
    <t>Roue de secours - KDPP / Spare Wheel - Tools</t>
  </si>
  <si>
    <t>Réservoir SCR / SCR tank      *(Diesel)</t>
  </si>
  <si>
    <t>ABS/ESP</t>
  </si>
  <si>
    <t>Berceau Av / Front Cradle</t>
  </si>
  <si>
    <t>Faisceau 'Global' / 'Global' harness</t>
  </si>
  <si>
    <t xml:space="preserve">   - Faisceau Principal / Vehicle main Harness</t>
  </si>
  <si>
    <t xml:space="preserve">   - Faisceau Habitacle / Cockpit Harness</t>
  </si>
  <si>
    <t xml:space="preserve">   - Faisceau Planche de bod / Dashboard harness</t>
  </si>
  <si>
    <t xml:space="preserve">   - Faisceau Ouvrant AR / Tailgaite-Trunk harness</t>
  </si>
  <si>
    <t xml:space="preserve">   - Faisceau 'divers' / Others harness</t>
  </si>
  <si>
    <t>Façade AV : MEAP/Ventilateur/Radiateur/Condenseur</t>
  </si>
  <si>
    <t>Façade Av : Compléments (including 2kg cooling liquid)</t>
  </si>
  <si>
    <t>Avertisseur sonore piéton /Pedestrian Horn  *(xEV)</t>
  </si>
  <si>
    <t>* pour GMP spécifique   /   * for specific PWT only</t>
  </si>
  <si>
    <t>Caisse en blanc / Body in White</t>
  </si>
  <si>
    <t>Données à estimer d'une sil précédente OU utiliser les estimations ci-dessous / Inputs to be estimated from a previous top hat OR use the estimations below</t>
  </si>
  <si>
    <t>Portes AR / Rear doors</t>
  </si>
  <si>
    <t xml:space="preserve">   - Porte AR D / Rear RHD door</t>
  </si>
  <si>
    <t xml:space="preserve">   - Porte AR G / Rear LHD door</t>
  </si>
  <si>
    <t>Portes AV / Front Doors</t>
  </si>
  <si>
    <t xml:space="preserve">   - Porte AV D / Front RHD door</t>
  </si>
  <si>
    <t xml:space="preserve">   - Porte AV G / Front LHD door</t>
  </si>
  <si>
    <t>Toit / Roof</t>
  </si>
  <si>
    <t>Capot équipé / Hood assembled</t>
  </si>
  <si>
    <t>Volet-hayon-portillon / Tailgate</t>
  </si>
  <si>
    <t>Engine database :</t>
  </si>
  <si>
    <t>Reference BDD :</t>
  </si>
  <si>
    <t>http://docinfogroupe.inetpsa.com/ead/doc/ref.00987_15_00582/v.vc/fiche</t>
  </si>
  <si>
    <t>X</t>
  </si>
  <si>
    <t>Y</t>
  </si>
  <si>
    <t>Z</t>
  </si>
  <si>
    <t>EMP2 - EB2ADTS E-DCT</t>
  </si>
  <si>
    <t>EMP2 : EB2ADT 6DCT2000</t>
  </si>
  <si>
    <t>EMP2 : DW10FC AMN8</t>
  </si>
  <si>
    <t>EMP2 : EP8FADTX ATN8</t>
  </si>
  <si>
    <t>EP6FADTX-PHEV E-ATN8</t>
  </si>
  <si>
    <t>EP6FADTX ATN8</t>
  </si>
  <si>
    <t>EC5 BE4</t>
  </si>
  <si>
    <t>EB2DTSM BE4</t>
  </si>
  <si>
    <t>EB2DTS AT6_III</t>
  </si>
  <si>
    <t>EB2DTS MCM</t>
  </si>
  <si>
    <t>EB2ADTS MCM</t>
  </si>
  <si>
    <t>EB2ADTS ATN8</t>
  </si>
  <si>
    <t>EB2ADTS MB6</t>
  </si>
  <si>
    <t>EB2ADT MB6</t>
  </si>
  <si>
    <t>DW10FD ML6C</t>
  </si>
  <si>
    <t>DV6FD BE4</t>
  </si>
  <si>
    <t>DV6FC AT6_III</t>
  </si>
  <si>
    <t>DV6FC ML6C</t>
  </si>
  <si>
    <t>EMP2 : DV5RD MB6</t>
  </si>
  <si>
    <t>EMP2 : DV5RC ATN8</t>
  </si>
  <si>
    <t>EMP2 : DV5RC ML6C</t>
  </si>
  <si>
    <t>ICE</t>
  </si>
  <si>
    <t>CMP : EB2ADTS + ATN8</t>
  </si>
  <si>
    <t>CMP : EB2LT + MB6</t>
  </si>
  <si>
    <t>MHEV</t>
  </si>
  <si>
    <t>CMP : EB2LT + eDCT</t>
  </si>
  <si>
    <t>STLA/M w1 (P64) : EP6LTC + ATN8</t>
  </si>
  <si>
    <t>STLA/M w1 (P64) : EP6LTC + AT6III</t>
  </si>
  <si>
    <t>STLA/M w1 (P64) : EB2LT + eDCT</t>
  </si>
  <si>
    <t>PHEV</t>
  </si>
  <si>
    <t>STLA/M w1 (P64) : EP6LTCH + eDCT</t>
  </si>
  <si>
    <t>BEV</t>
  </si>
  <si>
    <t>eCMP : eRAD NIDEC + DANA</t>
  </si>
  <si>
    <t>eCMP : M3 + RG1</t>
  </si>
  <si>
    <t>STLA/M w1 (P64) : M4 + RGM.2</t>
  </si>
  <si>
    <t>STLA/M w1 (P64) : eRAD Gen2</t>
  </si>
  <si>
    <t>MCI P64</t>
  </si>
  <si>
    <t>STLA/M w2 (J4U) : eRAD Gen3</t>
  </si>
  <si>
    <t>DO NOT MODIFY LINES UNDERNEATH :</t>
  </si>
  <si>
    <t>Mean estimated positions</t>
  </si>
  <si>
    <t>Données non utilisées! - Estimations pour comparaison avec les valeurs ci-dessus.
Not used! - These estimations can be copy/paste or compared to values upside</t>
  </si>
  <si>
    <t>Porte AR / Rear doors</t>
  </si>
  <si>
    <t>Porte AV / Front Doors</t>
  </si>
  <si>
    <t>Capot / Hood</t>
  </si>
  <si>
    <t>PROGRAM :</t>
  </si>
  <si>
    <t>PROJECT :</t>
  </si>
  <si>
    <t>MODEL :</t>
  </si>
  <si>
    <t>Evaluation AdP du MCI / CdG Evaluation at early stage</t>
  </si>
  <si>
    <t>Curb Mass</t>
  </si>
  <si>
    <r>
      <t xml:space="preserve">Z
</t>
    </r>
    <r>
      <rPr>
        <b/>
        <sz val="11"/>
        <rFont val="Calibri"/>
        <family val="2"/>
      </rPr>
      <t>(REF ground)</t>
    </r>
  </si>
  <si>
    <r>
      <t xml:space="preserve">Z
</t>
    </r>
    <r>
      <rPr>
        <b/>
        <sz val="11"/>
        <rFont val="Calibri"/>
        <family val="2"/>
      </rPr>
      <t>(Curb ground)</t>
    </r>
  </si>
  <si>
    <r>
      <t xml:space="preserve">Z
</t>
    </r>
    <r>
      <rPr>
        <b/>
        <sz val="11"/>
        <rFont val="Calibri"/>
        <family val="2"/>
      </rPr>
      <t>(GVW ground)</t>
    </r>
  </si>
  <si>
    <t>Mfront</t>
  </si>
  <si>
    <t>Mrear</t>
  </si>
  <si>
    <t>Nb</t>
  </si>
  <si>
    <t>Unsprung Coef</t>
  </si>
  <si>
    <t>Perimeter</t>
  </si>
  <si>
    <t>Module</t>
  </si>
  <si>
    <t>A2MAC1 Level1</t>
  </si>
  <si>
    <t>A2MAC1 Level2</t>
  </si>
  <si>
    <t>A2MAC1 Level3</t>
  </si>
  <si>
    <t>A2MAC1 Structure</t>
  </si>
  <si>
    <t>Découpages DEC5</t>
  </si>
  <si>
    <t xml:space="preserve">commentaire      </t>
  </si>
  <si>
    <t>comment</t>
  </si>
  <si>
    <t>ADAPTATION</t>
  </si>
  <si>
    <t>POWERTRAIN ADAPTATION</t>
  </si>
  <si>
    <t>CMAG</t>
  </si>
  <si>
    <t>ADDBLUE (+ reservoir)</t>
  </si>
  <si>
    <t>Addblue tank + liquid</t>
  </si>
  <si>
    <t>CIRCUIT CARBURANT</t>
  </si>
  <si>
    <t>CIRCUIT AIR</t>
  </si>
  <si>
    <t>Air intake loop</t>
  </si>
  <si>
    <t>Filtre</t>
  </si>
  <si>
    <t>Air filter</t>
  </si>
  <si>
    <t>ACT02</t>
  </si>
  <si>
    <t>Sauf pour moteur EP6 (déjà compté dans le bilan moteur)</t>
  </si>
  <si>
    <t>Except for EP6 (already counted in the mass of GMP)</t>
  </si>
  <si>
    <t>Durites</t>
  </si>
  <si>
    <t>Air pipes</t>
  </si>
  <si>
    <t>RAS</t>
  </si>
  <si>
    <t>CAC</t>
  </si>
  <si>
    <t>ACT01</t>
  </si>
  <si>
    <t>En cas de RAS déporté (type IRIS), mettre à jour la valeur du Y CDG</t>
  </si>
  <si>
    <t>In case of a CAC in the wheel arch (IRIS Type), adjust the Y position</t>
  </si>
  <si>
    <t>CIRCUIT EAU</t>
  </si>
  <si>
    <t>Water cooling loop</t>
  </si>
  <si>
    <t>Système radiateur</t>
  </si>
  <si>
    <t>Radiator</t>
  </si>
  <si>
    <t>Valeurs entre 3 et 4kg suivant la taille et la classe de radia</t>
  </si>
  <si>
    <t>Value between 3 and 4kg depending on size or class of radiator</t>
  </si>
  <si>
    <t>Water pipes</t>
  </si>
  <si>
    <t>Valeurs entre 4kg (tuyaux + boite dégazage) et 12kg (PHEV/BEV 4x4)</t>
  </si>
  <si>
    <t>Value between 4kg (classic ICE) and 12kg (BEV/PHEV 4x4)</t>
  </si>
  <si>
    <t>Liquide de refroidissement</t>
  </si>
  <si>
    <t>Cooling liquid</t>
  </si>
  <si>
    <t>ACT03</t>
  </si>
  <si>
    <t>Valeurs entre 5kg (ICE) et 15kg (BEV)</t>
  </si>
  <si>
    <t>value between 5kg (ICE) and 15kg (PHEV/BEV 4x4)</t>
  </si>
  <si>
    <t>Système motoventilateur</t>
  </si>
  <si>
    <t>Fan system</t>
  </si>
  <si>
    <t>Prendre l'ensemble ventilateur + cadre, entre 3 et 4kg en général</t>
  </si>
  <si>
    <t xml:space="preserve">value of entire module with air dam, usually from 3 to 4kg </t>
  </si>
  <si>
    <t>Système pompe auxiliaire</t>
  </si>
  <si>
    <t>Auxiliary water pumps</t>
  </si>
  <si>
    <t>DSEE</t>
  </si>
  <si>
    <t>en général, 1 pompe pour ICE, 2 ou 3 pompes pour les BEV/ MHEV / BEV; 0,3 à 0,6kg pour chaque pompe</t>
  </si>
  <si>
    <t>1 pump fpr ICE, 2 to 3 pumps for MHEV / BEV / PHEV; value of 0,3 to 0,6kg each</t>
  </si>
  <si>
    <t>COMMANDE VITESSE</t>
  </si>
  <si>
    <t>Gear shift command</t>
  </si>
  <si>
    <t>ACT11</t>
  </si>
  <si>
    <t>levier de vitesse</t>
  </si>
  <si>
    <t>gear lever</t>
  </si>
  <si>
    <t>ECHAPPEMENT</t>
  </si>
  <si>
    <t>Exhaust line</t>
  </si>
  <si>
    <t>ACT08+09</t>
  </si>
  <si>
    <t>ligne complète: catalyseur et ligne froide</t>
  </si>
  <si>
    <t>full exhasut line with catalyser and cold line</t>
  </si>
  <si>
    <t>ECRANS THERMIQUE</t>
  </si>
  <si>
    <t>Thermal shields</t>
  </si>
  <si>
    <t>Hors module</t>
  </si>
  <si>
    <t>Entre 2 et 2,8kg</t>
  </si>
  <si>
    <t>from 2 to 3kg</t>
  </si>
  <si>
    <t>FACADE</t>
  </si>
  <si>
    <t>ADTH</t>
  </si>
  <si>
    <t>LIQUIDE ADDITIF</t>
  </si>
  <si>
    <t>Déjà en ligne 16</t>
  </si>
  <si>
    <t>LIQUIDE REFROIDISSEMENT</t>
  </si>
  <si>
    <t>PEDALIER</t>
  </si>
  <si>
    <t>Pedals</t>
  </si>
  <si>
    <t>ACT07</t>
  </si>
  <si>
    <t>Valeur moyenne, 1,5 à 2kg</t>
  </si>
  <si>
    <t>mean value from 1,5 to 2kg</t>
  </si>
  <si>
    <t>RESERVOIR CARBURANT</t>
  </si>
  <si>
    <t>Fuel tank</t>
  </si>
  <si>
    <t>ACT06</t>
  </si>
  <si>
    <t>Entre 9kg (réservoir simple 45L) et 15kg (réservoir pressurisé 60L)</t>
  </si>
  <si>
    <t>From 9kg (simple tank, 45L) to 16kg (pressurised tank, 60L)</t>
  </si>
  <si>
    <t>Canister</t>
  </si>
  <si>
    <t>Entre 0,5kg (€6 Europe) et 3kg (dépol €7 et Chine)</t>
  </si>
  <si>
    <t>From 0,5kg (€6) to 3kg (€7 and China)</t>
  </si>
  <si>
    <t>Masse carburant</t>
  </si>
  <si>
    <t>Fuel mass</t>
  </si>
  <si>
    <t>Faire le calcul nbre de litres x0,75 (essence) ou 0,8 (diesel)</t>
  </si>
  <si>
    <t>Liters * 0,75 (gasoline) or 0,8 (diesel)</t>
  </si>
  <si>
    <t>SUPPORT GMP AV</t>
  </si>
  <si>
    <t>Front Electric engine brackets</t>
  </si>
  <si>
    <t>ACT12</t>
  </si>
  <si>
    <t>Supports MEL AR</t>
  </si>
  <si>
    <t>Rear Electric engine brackets</t>
  </si>
  <si>
    <t>Pour PHEV/BEV 4x4</t>
  </si>
  <si>
    <t>For PHEV / BEV 4x4</t>
  </si>
  <si>
    <t>Gaz de climatisation</t>
  </si>
  <si>
    <t>Air conditioning gas</t>
  </si>
  <si>
    <t>valeur usuelle, entre 0,8 et 1kg</t>
  </si>
  <si>
    <t>mean value from 0,8 to 1kg</t>
  </si>
  <si>
    <t>Conduits de clim</t>
  </si>
  <si>
    <t>Air conditioning ducts</t>
  </si>
  <si>
    <t>valeur mpyenne, 2kg</t>
  </si>
  <si>
    <t>mean value, 2kg</t>
  </si>
  <si>
    <t>Groupe de clim</t>
  </si>
  <si>
    <t>HVAC</t>
  </si>
  <si>
    <t>valeur entre 8 et 10kg</t>
  </si>
  <si>
    <t>mean value from 8 to 10kg</t>
  </si>
  <si>
    <t>Compresseur de clim + support</t>
  </si>
  <si>
    <t>Compressor + bracket</t>
  </si>
  <si>
    <t>valeur entre 4 et 6kg</t>
  </si>
  <si>
    <t>mean value from 4 to 6kg</t>
  </si>
  <si>
    <t>Chiller + support</t>
  </si>
  <si>
    <t>Chiller + bracket</t>
  </si>
  <si>
    <t>chiller, entre 0,5 et 1kg</t>
  </si>
  <si>
    <t>mean value for the chiller, from 0,5 to 1kg</t>
  </si>
  <si>
    <t>CTP (Water heater) + support</t>
  </si>
  <si>
    <t>CTP (Water heater) + bracket</t>
  </si>
  <si>
    <t>valeur entre 1,5 et 2,5k pour la CTP, ajouter la meme masse pour le support</t>
  </si>
  <si>
    <t xml:space="preserve">mean value from 1,5 to 2,5kg for the WH, add the same mass for its bracket </t>
  </si>
  <si>
    <t>AILES</t>
  </si>
  <si>
    <t>Wings</t>
  </si>
  <si>
    <t>SOEE</t>
  </si>
  <si>
    <t>Ailes avant</t>
  </si>
  <si>
    <t>Front wing</t>
  </si>
  <si>
    <t>valeur usuelle autours de 4kg</t>
  </si>
  <si>
    <t>mean value around 4kg</t>
  </si>
  <si>
    <t>Ailes arrière</t>
  </si>
  <si>
    <t>Rear wing</t>
  </si>
  <si>
    <t>0 en général, inclus dans coté de caisse</t>
  </si>
  <si>
    <t>0 in general, included in the side panel</t>
  </si>
  <si>
    <t>ASSISES</t>
  </si>
  <si>
    <t>Seats</t>
  </si>
  <si>
    <t>SPCS</t>
  </si>
  <si>
    <t>ASSISE AR RG2</t>
  </si>
  <si>
    <t>Row 2 seats</t>
  </si>
  <si>
    <t>Dépend du concept: banquette fixe/coulissante, siège amovible</t>
  </si>
  <si>
    <t>very large variations, depending on the concept</t>
  </si>
  <si>
    <t>ASSISE AR RG3</t>
  </si>
  <si>
    <t>Row 3 seats</t>
  </si>
  <si>
    <t>ASSISE AV</t>
  </si>
  <si>
    <t>Front seats</t>
  </si>
  <si>
    <t>x</t>
  </si>
  <si>
    <t>Avant conducteur</t>
  </si>
  <si>
    <t>Driver's seat</t>
  </si>
  <si>
    <t>Dépend du niveau de gamme, 15 à 30kg</t>
  </si>
  <si>
    <t>related to the trim level, can vary from 15 to 30kg</t>
  </si>
  <si>
    <t>Avant passager</t>
  </si>
  <si>
    <t>Front passenger seat</t>
  </si>
  <si>
    <t>Dépend du niveau de gamme, 15 à 30kg; égal ou inférieur au siège conducteur</t>
  </si>
  <si>
    <t>related to the trim level, can vary from 15 to 30kg; sould be equal or below the mass of driver's seat</t>
  </si>
  <si>
    <t>BATTERIE 12V</t>
  </si>
  <si>
    <t>12V battery</t>
  </si>
  <si>
    <t>DSEE-sil</t>
  </si>
  <si>
    <t>Batterie démarrage</t>
  </si>
  <si>
    <t>12v battery</t>
  </si>
  <si>
    <t>DCTC</t>
  </si>
  <si>
    <t>Dépend de la motorisation; batterie L2: 17kg; batterie L3: 21kg</t>
  </si>
  <si>
    <t>L2 battery: 17kg; L3 battery: 21kg</t>
  </si>
  <si>
    <t>Batterie additionnelle</t>
  </si>
  <si>
    <t>additional battery</t>
  </si>
  <si>
    <t>Pour PHEV V1/V2 ou pour TJC (6kg)</t>
  </si>
  <si>
    <t>use case PHEV V1/V2 or TJC (6kg)</t>
  </si>
  <si>
    <t>BATTERIE DE TRACTION</t>
  </si>
  <si>
    <t>ENGINE BATTERY</t>
  </si>
  <si>
    <t>Système batterie traction</t>
  </si>
  <si>
    <t>Bac batterie</t>
  </si>
  <si>
    <t>housing</t>
  </si>
  <si>
    <t>SCEG-Batt</t>
  </si>
  <si>
    <t>masse: env. 0,75kg par L de batterie (acier) ou 0,6kg par L (alu)</t>
  </si>
  <si>
    <t>mass: 0,75kg per L useful of modules (steel housing) or 0,6kg (alloy housing)</t>
  </si>
  <si>
    <t>modules</t>
  </si>
  <si>
    <t>DSEE-Batt</t>
  </si>
  <si>
    <t>masse de la chimie: 2,2kg par L utile de module</t>
  </si>
  <si>
    <t>chemistry mass: 2,2kg par L useful of modules</t>
  </si>
  <si>
    <t>autres: bus bar, refri, BMS…</t>
  </si>
  <si>
    <t>cooling+ wires, BMS…</t>
  </si>
  <si>
    <t>masse des autres éléments: env. 40kg</t>
  </si>
  <si>
    <t>others: around 40kg</t>
  </si>
  <si>
    <t xml:space="preserve">Convertisseur DC-DC </t>
  </si>
  <si>
    <t>DCDC converter</t>
  </si>
  <si>
    <t>pour MHEV, PHEV, BEV</t>
  </si>
  <si>
    <t>in case of a MHEV, PHEV, BEV</t>
  </si>
  <si>
    <t>Système module de charge HT</t>
  </si>
  <si>
    <t>OBC</t>
  </si>
  <si>
    <t>Durite de ventilation module charge HT</t>
  </si>
  <si>
    <t>Calculateur gestion batterie HT</t>
  </si>
  <si>
    <t>Second support module charge HT</t>
  </si>
  <si>
    <t>Support calculateur gestion batterie HT</t>
  </si>
  <si>
    <t>Deuxiéme support calculateur gestion batterie HT</t>
  </si>
  <si>
    <t>BOUCLIER AR</t>
  </si>
  <si>
    <t>Rear bumper</t>
  </si>
  <si>
    <t>Pare Choc AR</t>
  </si>
  <si>
    <t>Pare boue AR</t>
  </si>
  <si>
    <t>Rear mudguard</t>
  </si>
  <si>
    <t>Si présent, env. 2kg</t>
  </si>
  <si>
    <t>BOUCLIER AV</t>
  </si>
  <si>
    <t>Front bumper</t>
  </si>
  <si>
    <t>Pare Choc AV</t>
  </si>
  <si>
    <t>Pare boue AV</t>
  </si>
  <si>
    <t>Front mudguard</t>
  </si>
  <si>
    <t>valeur moyenne, env. 3kg (inclu une bavette aérodynamique de roue av)</t>
  </si>
  <si>
    <t>Mean value 3kg (including front wheel spoiler)</t>
  </si>
  <si>
    <t>BV / Réducteur</t>
  </si>
  <si>
    <t>Gearbox / reducer</t>
  </si>
  <si>
    <t>4x4</t>
  </si>
  <si>
    <t>4x4 transmission</t>
  </si>
  <si>
    <t>masse de la transmission longi dans le cas d'un 4x4</t>
  </si>
  <si>
    <t>mass of longitudinal transmission in case of a 4WD</t>
  </si>
  <si>
    <t>BVA</t>
  </si>
  <si>
    <t>Automatic gearbox</t>
  </si>
  <si>
    <t>masse du réducteur AV (si BEV)</t>
  </si>
  <si>
    <t>mass of front reducer</t>
  </si>
  <si>
    <t>BVM</t>
  </si>
  <si>
    <t>Manual gearbox</t>
  </si>
  <si>
    <t>masse du réducteur AR (si BEV)</t>
  </si>
  <si>
    <t>mass of rear reducer</t>
  </si>
  <si>
    <t>COUPLAGE</t>
  </si>
  <si>
    <t xml:space="preserve">Coupling </t>
  </si>
  <si>
    <t>REDUCTEUR AR</t>
  </si>
  <si>
    <t>Rear reducer</t>
  </si>
  <si>
    <t>masse de la boite de vitesse</t>
  </si>
  <si>
    <t>mass of gearbox</t>
  </si>
  <si>
    <t>REDUCTEUR AV</t>
  </si>
  <si>
    <t>Front reducer</t>
  </si>
  <si>
    <t>valeur du couplage / DVA si non compté dans la boite de vitesse</t>
  </si>
  <si>
    <t>mass of coupling device (if not included in the mass of the gearbox)</t>
  </si>
  <si>
    <t>CAISSE EN BLANC</t>
  </si>
  <si>
    <t>Body in white</t>
  </si>
  <si>
    <t>SCEG</t>
  </si>
  <si>
    <t>RENFORT DE CAISSE</t>
  </si>
  <si>
    <t>SCEG-base</t>
  </si>
  <si>
    <t>si non connu, mettre 60% de l'estimation caisse en blanc totale</t>
  </si>
  <si>
    <t>if unknown, around 2/3 of the total BIW</t>
  </si>
  <si>
    <t>TABLIER COTE CONDUCTEUR / UNIQUE</t>
  </si>
  <si>
    <t>valeur du véhicule remplacé avec ratio d'échelle</t>
  </si>
  <si>
    <t>value from previous vehicule with rato for scaling</t>
  </si>
  <si>
    <t>TABLIER COTE PASSAGER</t>
  </si>
  <si>
    <t>BAC DE RANGEMENT ARRIERE 1</t>
  </si>
  <si>
    <t>valeur usuelle, 10kg</t>
  </si>
  <si>
    <t>mean value, 10kg</t>
  </si>
  <si>
    <t>CAISSE EN BLANC (AVEC PEINTURE)</t>
  </si>
  <si>
    <t>CAPOT</t>
  </si>
  <si>
    <t>Hood</t>
  </si>
  <si>
    <t>Tôlerie capot</t>
  </si>
  <si>
    <t>Metal sheet</t>
  </si>
  <si>
    <t>Valeur usuelle, 5 à 9kg</t>
  </si>
  <si>
    <t>Equipement capot</t>
  </si>
  <si>
    <t>Equipment</t>
  </si>
  <si>
    <t>Valeur moyenne 3kg (béquille, serrure, charnieres)</t>
  </si>
  <si>
    <t>mean value, 3kg (hinges, lock, arm)</t>
  </si>
  <si>
    <t>CIELO / TO</t>
  </si>
  <si>
    <t>Cielo / Open Sunroof</t>
  </si>
  <si>
    <t>Cielo/TO</t>
  </si>
  <si>
    <t>Si présent, valeur moyenne 25kg TO et 10kg Cielo</t>
  </si>
  <si>
    <t>if present, mean value 25kg for open sunroof and 10kg for a Cielo</t>
  </si>
  <si>
    <t>COLONNE de direction</t>
  </si>
  <si>
    <t>Direction</t>
  </si>
  <si>
    <t>ICDV</t>
  </si>
  <si>
    <t>Colonne de direction</t>
  </si>
  <si>
    <t>Steering column</t>
  </si>
  <si>
    <t>valeur PF</t>
  </si>
  <si>
    <t>value from chassis database</t>
  </si>
  <si>
    <t>Neman, joints, fixations</t>
  </si>
  <si>
    <t>Neman, fasteners</t>
  </si>
  <si>
    <t>valeur usuelle, 1,2kg</t>
  </si>
  <si>
    <t>mean value, 1,2kg</t>
  </si>
  <si>
    <t>colonne avec motorisations</t>
  </si>
  <si>
    <t>Electric steering column</t>
  </si>
  <si>
    <t>CONSOLE</t>
  </si>
  <si>
    <t>Console</t>
  </si>
  <si>
    <t>Console centrale</t>
  </si>
  <si>
    <t>Central console</t>
  </si>
  <si>
    <t>Valeur moyenne 3kg</t>
  </si>
  <si>
    <t>mean value, 3kg</t>
  </si>
  <si>
    <t>Garnitures / rangements</t>
  </si>
  <si>
    <t>Garnish/storing devices</t>
  </si>
  <si>
    <t>DAE</t>
  </si>
  <si>
    <t>Power Steering</t>
  </si>
  <si>
    <t>Fixations et protections</t>
  </si>
  <si>
    <t>fasteners / protections</t>
  </si>
  <si>
    <t>Valeur usuelle 0,5kg; si écran thermique: +0,3kg</t>
  </si>
  <si>
    <t>mean value 0,5kg; add 0,3kg in case of a thermal screen</t>
  </si>
  <si>
    <t>DEMARREUR</t>
  </si>
  <si>
    <t>PROTECTION DEMARREUR</t>
  </si>
  <si>
    <t>DIVERS CAISSE</t>
  </si>
  <si>
    <t>outer trims</t>
  </si>
  <si>
    <t>AVERTISSEUR SONORE + bruiteur</t>
  </si>
  <si>
    <t>horn / pedestrian adviser</t>
  </si>
  <si>
    <t>Valeur moyenne 0,3kg pour klaxon, 1kg pour AVAS (avec support)</t>
  </si>
  <si>
    <t>mean value 0,3kg for the horn; for ZEV: add the 'AVAS', 1kg including bracket</t>
  </si>
  <si>
    <t>Bas de caisse rapportés</t>
  </si>
  <si>
    <t>skid plates</t>
  </si>
  <si>
    <t>si présents, valeur moyenne 5kg (bas de caisse + enjo d'aile)</t>
  </si>
  <si>
    <t>if available, mean value 5kg</t>
  </si>
  <si>
    <t>Enjoliveur Sup côté de caisse</t>
  </si>
  <si>
    <t>Body upper trim</t>
  </si>
  <si>
    <t>Barre de toit</t>
  </si>
  <si>
    <t>roof bars</t>
  </si>
  <si>
    <t>si présent, valeur moyenne 3kg</t>
  </si>
  <si>
    <t>if available, mean value 2kg</t>
  </si>
  <si>
    <t>GRILLE AUVENT</t>
  </si>
  <si>
    <t>cowl grid</t>
  </si>
  <si>
    <t>Valeur moyenne, 2kg</t>
  </si>
  <si>
    <t>TRAPPE CARBURANT</t>
  </si>
  <si>
    <t>fuel flap</t>
  </si>
  <si>
    <t>Valeur moyenne, 0,5kg</t>
  </si>
  <si>
    <t>mean value, 0,5kg</t>
  </si>
  <si>
    <t>Enjoliveur aile Av</t>
  </si>
  <si>
    <t>Enjoliveur aile Ar</t>
  </si>
  <si>
    <t>OBTURATEURS</t>
  </si>
  <si>
    <t>Si présent, valeur moyenne 2kg</t>
  </si>
  <si>
    <t>DIVERS EE (ADAS, audio)</t>
  </si>
  <si>
    <t>EE miscallenous</t>
  </si>
  <si>
    <t>ADAS / Capteurs</t>
  </si>
  <si>
    <t>ADAS / sensors</t>
  </si>
  <si>
    <t>Valeur proche de 4kg pour la Wave3 (&gt;2022); 3kg pour la wave2</t>
  </si>
  <si>
    <t>value around 4kg for wave3  (&gt;2022)</t>
  </si>
  <si>
    <t>Système audio</t>
  </si>
  <si>
    <t>Audio system</t>
  </si>
  <si>
    <t>Valeur proche de 4kg pour un système 'simple'; si option Hi Fi, ajouter jusqu'à 9kg</t>
  </si>
  <si>
    <t>value around 4kg for the audio system; add up to 9kg if the 'Hi Fi option' is on</t>
  </si>
  <si>
    <t>Autre / Divers</t>
  </si>
  <si>
    <t>DIVERS INT</t>
  </si>
  <si>
    <t xml:space="preserve">Inner trims </t>
  </si>
  <si>
    <t>Système rétroviseur</t>
  </si>
  <si>
    <t>Inside Rear View mirror</t>
  </si>
  <si>
    <t>Valeur usuelle, 0,5kg</t>
  </si>
  <si>
    <t>Bac de rangement</t>
  </si>
  <si>
    <t>storage boxes</t>
  </si>
  <si>
    <t>Valeur usuelle, 1kg</t>
  </si>
  <si>
    <t>mean value, 1kg</t>
  </si>
  <si>
    <t>Divers INT</t>
  </si>
  <si>
    <t>DIVERS LAS anneau remorquage, KDPP</t>
  </si>
  <si>
    <t>Miscellaneous: repair kit, carrying ring</t>
  </si>
  <si>
    <t>MODULE DE REPARATION / KDPP</t>
  </si>
  <si>
    <t>carrying ring</t>
  </si>
  <si>
    <t>GAZ BONBONNE AIR</t>
  </si>
  <si>
    <t>kit box</t>
  </si>
  <si>
    <t>Si présent, moyenne 1kg</t>
  </si>
  <si>
    <t>if available, mean value 1kg</t>
  </si>
  <si>
    <t>ECLAIRAGE</t>
  </si>
  <si>
    <t>Ligthing</t>
  </si>
  <si>
    <t>3EME FEU STOP</t>
  </si>
  <si>
    <t>brake lamp</t>
  </si>
  <si>
    <t>AB. AR.</t>
  </si>
  <si>
    <t>rear fog light</t>
  </si>
  <si>
    <t>AB. AV.</t>
  </si>
  <si>
    <t>front fog light</t>
  </si>
  <si>
    <t>DRL</t>
  </si>
  <si>
    <t>FEUX AR</t>
  </si>
  <si>
    <t>Rear lignts</t>
  </si>
  <si>
    <t>PROJECTEURS</t>
  </si>
  <si>
    <t>Front lights</t>
  </si>
  <si>
    <t>ECRAN AERO</t>
  </si>
  <si>
    <t>Aero covers</t>
  </si>
  <si>
    <t>Ecran sous moteur AV</t>
  </si>
  <si>
    <t>Engine cover</t>
  </si>
  <si>
    <t>masse de 1 à 2kg pour un écran plastique ou feutre; 4kg pour un écran tole</t>
  </si>
  <si>
    <t>mass from 1 to 2kg for plastic cover; 4kg for steel cover</t>
  </si>
  <si>
    <t>Déflecteur Amon batterie</t>
  </si>
  <si>
    <t>masse de 1kg pour l'ensemble des protecteurs gravillonage (coupelle et train)</t>
  </si>
  <si>
    <t>mean mass, 1kg for all the rear track protection (if any)</t>
  </si>
  <si>
    <t>Déflecteur Lat batterie</t>
  </si>
  <si>
    <t>Protecteurs sous essieu arrière</t>
  </si>
  <si>
    <t>Rear track covers</t>
  </si>
  <si>
    <t>Ecran sous plancher</t>
  </si>
  <si>
    <t>Front floor covers</t>
  </si>
  <si>
    <t>masse d'environ 3kg pour l'ensemble D+G pour les ICE, 6kg pour les BEV</t>
  </si>
  <si>
    <t>mean mass, 3kg for R/L covers if ICE; 6kg if BEV</t>
  </si>
  <si>
    <t>Ecran sous reservoir</t>
  </si>
  <si>
    <t>Fuel tank covers</t>
  </si>
  <si>
    <t>masse d'environ 2kg pour l'ensemble D+G (ICE)</t>
  </si>
  <si>
    <t>mean mass, 2kg (ICE case)</t>
  </si>
  <si>
    <t>Ecran sous unité AR</t>
  </si>
  <si>
    <t>rear unit  covers</t>
  </si>
  <si>
    <t>masse d'environ 2kg (si présent)</t>
  </si>
  <si>
    <t>mean mass, 2kg (if any)</t>
  </si>
  <si>
    <t>ESSUYAGE</t>
  </si>
  <si>
    <t>Wiping</t>
  </si>
  <si>
    <t xml:space="preserve">AV  </t>
  </si>
  <si>
    <t>front wiping blades</t>
  </si>
  <si>
    <t>AR</t>
  </si>
  <si>
    <t>rear wiping blades</t>
  </si>
  <si>
    <t>Bocal lave-vitre + liquide</t>
  </si>
  <si>
    <t>wiping liquid tank</t>
  </si>
  <si>
    <t>vérifier la capacité du réservoir LV</t>
  </si>
  <si>
    <t>verify wiping tank capacity</t>
  </si>
  <si>
    <t>Mécanisme EV</t>
  </si>
  <si>
    <t>wiping system</t>
  </si>
  <si>
    <t>FACADE AV</t>
  </si>
  <si>
    <t>Cooling module</t>
  </si>
  <si>
    <t>MEAP/Ventilateur/Radiateur/Condenseur</t>
  </si>
  <si>
    <t>Air intake active shutters / Condenseur / Fan…</t>
  </si>
  <si>
    <t>Volets aéro pilotés en entrée d'air face av, 3kg pour le module avec les cloisons anti recyclage</t>
  </si>
  <si>
    <t>active air shutters, including mechanism and air duct</t>
  </si>
  <si>
    <t xml:space="preserve"> Façade - Compléments</t>
  </si>
  <si>
    <t>Front facia</t>
  </si>
  <si>
    <t>Dans le cas d'une facade plastique intégrant les éléments de refri (condenseur, radiateur)</t>
  </si>
  <si>
    <t>in case of a plastic front end module with heat exhangers</t>
  </si>
  <si>
    <t>FAISCEAUX</t>
  </si>
  <si>
    <t>Wiring</t>
  </si>
  <si>
    <t>FAISCEAU</t>
  </si>
  <si>
    <t>HARNESS</t>
  </si>
  <si>
    <t>valeur vh précédant + inno eventuelles</t>
  </si>
  <si>
    <t>value from previous vh + innovations (if any)</t>
  </si>
  <si>
    <t>Cordon de charge</t>
  </si>
  <si>
    <t>Charging plug wire</t>
  </si>
  <si>
    <t>pour PHEV, BEV</t>
  </si>
  <si>
    <t>in case of PHEV, BEV</t>
  </si>
  <si>
    <t>FAISCEAU DE PUISSANCE</t>
  </si>
  <si>
    <t>HIGH VOLTAGE HARNESS</t>
  </si>
  <si>
    <t>valeur vh précédant</t>
  </si>
  <si>
    <t>value from previous vh</t>
  </si>
  <si>
    <t>FREINAGE</t>
  </si>
  <si>
    <t>Braking</t>
  </si>
  <si>
    <t>ABS / ESP</t>
  </si>
  <si>
    <t>AMCT</t>
  </si>
  <si>
    <t>Brake booster</t>
  </si>
  <si>
    <t>Ampli maitre cylindre de freinage, env. 4kg</t>
  </si>
  <si>
    <t>EQUIPEMENT FREINAGE (including liquid)</t>
  </si>
  <si>
    <t>FREIN A MAIN</t>
  </si>
  <si>
    <t>hand rear brake</t>
  </si>
  <si>
    <t>si FAM manuel; 0 si FAM electrique</t>
  </si>
  <si>
    <t>in case of manual rear hand brake; 0 if electric</t>
  </si>
  <si>
    <t>FREIN AR</t>
  </si>
  <si>
    <t>rear brakes</t>
  </si>
  <si>
    <t>ne pas remplir cette ligne mais le détail dessous</t>
  </si>
  <si>
    <t>do not fill this line but rather the detail below</t>
  </si>
  <si>
    <t>disque</t>
  </si>
  <si>
    <t>disks</t>
  </si>
  <si>
    <t>F31 --&gt; Used for Unsprung mass calculation</t>
  </si>
  <si>
    <t>etrier</t>
  </si>
  <si>
    <t>calipers</t>
  </si>
  <si>
    <t>F41 --&gt; Used for Unsprung mass calculation</t>
  </si>
  <si>
    <t>Protecteur de disque</t>
  </si>
  <si>
    <t>shield</t>
  </si>
  <si>
    <t>FREIN AV</t>
  </si>
  <si>
    <t>front brake</t>
  </si>
  <si>
    <t>F11 --&gt; Used for Unsprung mass calculation</t>
  </si>
  <si>
    <t>F21 --&gt; Used for Unsprung mass calculation</t>
  </si>
  <si>
    <t>Pompe à vide électrique</t>
  </si>
  <si>
    <t>Electric vacuum pump</t>
  </si>
  <si>
    <t>Dans le cas d'une pompe à vide électrique (BEV par exemple); si pompe attelée, la masse est comprise dans le GMP</t>
  </si>
  <si>
    <t>in case of additionnal electric vaccum pump; if mechanical pump, it is included in the mass og PWT</t>
  </si>
  <si>
    <t>GARNISSAGE</t>
  </si>
  <si>
    <t>Inner trims</t>
  </si>
  <si>
    <t>EQUIPEMENT GARNISSAGE PAVILLON</t>
  </si>
  <si>
    <t>valeur vehicule remplacé</t>
  </si>
  <si>
    <t>value from previous vehicle</t>
  </si>
  <si>
    <t>GARNISSAGE CAISSE/CARROSSERIE</t>
  </si>
  <si>
    <t>GARNISSAGE PAVILLON</t>
  </si>
  <si>
    <t>GMP</t>
  </si>
  <si>
    <t>PWT</t>
  </si>
  <si>
    <t>BLOC MOTEUR</t>
  </si>
  <si>
    <t>masse du GMP adaptable, avec habillage EEM (démarreur, alternateur et faisceau moteur)</t>
  </si>
  <si>
    <t>mass of adaptable PWT, with EEM dressing (alternator, starter, engine wire)</t>
  </si>
  <si>
    <t>Système hybride/électrique</t>
  </si>
  <si>
    <t>BEV/PHEV system</t>
  </si>
  <si>
    <t>Système moteur electrique</t>
  </si>
  <si>
    <t>Electric powertrain</t>
  </si>
  <si>
    <t>Moteur AV</t>
  </si>
  <si>
    <t>Front</t>
  </si>
  <si>
    <t>masse MEL AV</t>
  </si>
  <si>
    <t>mass of ePWT at the front</t>
  </si>
  <si>
    <t>Moteur AR</t>
  </si>
  <si>
    <t>Rear</t>
  </si>
  <si>
    <t>masse MEL AR</t>
  </si>
  <si>
    <t>mass of ePWT at the rear</t>
  </si>
  <si>
    <t>Système support de Câblage HV</t>
  </si>
  <si>
    <t>Wires brackets</t>
  </si>
  <si>
    <t>HAYON / COFFRE</t>
  </si>
  <si>
    <t>Tailgate</t>
  </si>
  <si>
    <t>EQUIPEMENT COFFRE</t>
  </si>
  <si>
    <t>valeur vh remplacé * ratio taille</t>
  </si>
  <si>
    <t>value of replaced vehicle * size ratio</t>
  </si>
  <si>
    <t>EQUIPEMENT HAYON</t>
  </si>
  <si>
    <t>EQUIPEMENT PORTE COFFRE</t>
  </si>
  <si>
    <t>TOLERIE COFFRE</t>
  </si>
  <si>
    <t>TOLERIE HAYON</t>
  </si>
  <si>
    <t>TOLERIE PORTE COFFRE</t>
  </si>
  <si>
    <t>VITRAGE HAYON</t>
  </si>
  <si>
    <t>VITRAGE PORTE COFFRE</t>
  </si>
  <si>
    <t>INSONORISATION</t>
  </si>
  <si>
    <t>Noise Insulation</t>
  </si>
  <si>
    <t>Insono</t>
  </si>
  <si>
    <t>coiffe pavillon</t>
  </si>
  <si>
    <t>LAS</t>
  </si>
  <si>
    <t>Chassis</t>
  </si>
  <si>
    <t>Système suspension pilotée</t>
  </si>
  <si>
    <t>active dump module</t>
  </si>
  <si>
    <t>R.D.S.</t>
  </si>
  <si>
    <t xml:space="preserve">spare wheel </t>
  </si>
  <si>
    <t>ICDV-Roue</t>
  </si>
  <si>
    <t>ROUES</t>
  </si>
  <si>
    <t>Arrière</t>
  </si>
  <si>
    <t>E31 --&gt; Used for Unsprung mass calculation.</t>
  </si>
  <si>
    <t>Avant</t>
  </si>
  <si>
    <t>TRAIN AR</t>
  </si>
  <si>
    <t>AMORTISSEURS</t>
  </si>
  <si>
    <t>Dampers</t>
  </si>
  <si>
    <t>E25 --&gt; Used for Unsprung mass calculation</t>
  </si>
  <si>
    <t>Essieu Arrière</t>
  </si>
  <si>
    <t>Rear axle</t>
  </si>
  <si>
    <t>Essieu AR nu</t>
  </si>
  <si>
    <t>Rear axle alone</t>
  </si>
  <si>
    <t>E21 --&gt; Used for Unsprung mass calculation</t>
  </si>
  <si>
    <t>Système bras de guidage</t>
  </si>
  <si>
    <t>Steering arm</t>
  </si>
  <si>
    <t>E22 --&gt; Used for Unsprung mass calculation</t>
  </si>
  <si>
    <t>Cas d'un multi bras</t>
  </si>
  <si>
    <t>in case of multi link</t>
  </si>
  <si>
    <t>Système barre stabilisatrice</t>
  </si>
  <si>
    <t>Stabilizer bar</t>
  </si>
  <si>
    <t>E26 --&gt; Used for Unsprung mass calculation</t>
  </si>
  <si>
    <t>Barre anti devers</t>
  </si>
  <si>
    <t>anti roll bar</t>
  </si>
  <si>
    <t>Carter/Moyeu/roulement</t>
  </si>
  <si>
    <t>Carter/hub/ball bearing</t>
  </si>
  <si>
    <t>E24 --&gt; Used for Unsprung mass calculation</t>
  </si>
  <si>
    <t>TRAIN AV</t>
  </si>
  <si>
    <t>E14 --&gt; Used for Unsprung mass calculation</t>
  </si>
  <si>
    <t>Essieu Avant</t>
  </si>
  <si>
    <t>Berceau / essieu</t>
  </si>
  <si>
    <t>Cradle</t>
  </si>
  <si>
    <t>E11 --&gt; Used for Unsprung mass calculation</t>
  </si>
  <si>
    <t>voie d'effort inf</t>
  </si>
  <si>
    <t>shock low beam</t>
  </si>
  <si>
    <t>poutre inf crash</t>
  </si>
  <si>
    <t>lower beam</t>
  </si>
  <si>
    <t>steering arm</t>
  </si>
  <si>
    <t>E12 --&gt; Used for Unsprung mass calculation</t>
  </si>
  <si>
    <t>triangles AV</t>
  </si>
  <si>
    <t>front triangles</t>
  </si>
  <si>
    <t>E15 --&gt; Used for Unsprung mass calculation</t>
  </si>
  <si>
    <t>E13 --&gt; Used for Unsprung mass calculation</t>
  </si>
  <si>
    <t>MOYENS DE RETENU</t>
  </si>
  <si>
    <t>Safety belts/airbags</t>
  </si>
  <si>
    <t>AIRBAGS</t>
  </si>
  <si>
    <t>Airbags</t>
  </si>
  <si>
    <t>reprendre valeur vh remplacé</t>
  </si>
  <si>
    <t>CEINTURES DE SECURITE</t>
  </si>
  <si>
    <t>Safety belts</t>
  </si>
  <si>
    <t>CAPOT ACTIF</t>
  </si>
  <si>
    <t>PARE BRISE</t>
  </si>
  <si>
    <t>Windscreen</t>
  </si>
  <si>
    <t>Pare Brise</t>
  </si>
  <si>
    <t xml:space="preserve">valeur vh remplacé </t>
  </si>
  <si>
    <t>PLANCHE DE BORD</t>
  </si>
  <si>
    <t>Dashboard</t>
  </si>
  <si>
    <t>CORPS PDB</t>
  </si>
  <si>
    <t>EE PDB</t>
  </si>
  <si>
    <t>electronics</t>
  </si>
  <si>
    <t>valeur vh remplacé + inno eventuelles</t>
  </si>
  <si>
    <t>value of previous vehicle +innovations (if any)</t>
  </si>
  <si>
    <t>TRAVERSE PDB</t>
  </si>
  <si>
    <t>Crossbar</t>
  </si>
  <si>
    <t xml:space="preserve">value of previous vehicle </t>
  </si>
  <si>
    <t>PORTES AR</t>
  </si>
  <si>
    <t>Rear door</t>
  </si>
  <si>
    <t>EQUIPEMENT PORTE AR</t>
  </si>
  <si>
    <t>Rear door equipment</t>
  </si>
  <si>
    <t>value of replaced vehicle</t>
  </si>
  <si>
    <t>Tolerie Portes AR</t>
  </si>
  <si>
    <t>Rear door metal sheet</t>
  </si>
  <si>
    <t>Vitrage Porte AR</t>
  </si>
  <si>
    <t>Rear door window</t>
  </si>
  <si>
    <t>Portière globale</t>
  </si>
  <si>
    <t>Global rear door</t>
  </si>
  <si>
    <t>somme de la porte complete</t>
  </si>
  <si>
    <t>sum of global rear door</t>
  </si>
  <si>
    <t>PORTES AV</t>
  </si>
  <si>
    <t>Front door</t>
  </si>
  <si>
    <t>Equipement Porte AV</t>
  </si>
  <si>
    <t>Front door equipment</t>
  </si>
  <si>
    <t>Tolerie Porte AV</t>
  </si>
  <si>
    <t>Front door metal sheet</t>
  </si>
  <si>
    <t>Vitrage portes AV</t>
  </si>
  <si>
    <t>Front door window</t>
  </si>
  <si>
    <t>Portiere globale</t>
  </si>
  <si>
    <t>Global Front door</t>
  </si>
  <si>
    <t>SYSTÈME ABSORPTION CHOC (SAC)</t>
  </si>
  <si>
    <t>Shock systems</t>
  </si>
  <si>
    <t>SAC AV</t>
  </si>
  <si>
    <t>front</t>
  </si>
  <si>
    <t>valeur entre 3kg (poutre alu ICE) et 6kg (poutre acier BEV)</t>
  </si>
  <si>
    <t>value from 3kg (alloy beam for ICE) to 6kg (steel beam for BEV)</t>
  </si>
  <si>
    <t>SAC AR</t>
  </si>
  <si>
    <t>rear</t>
  </si>
  <si>
    <t>valeur entre 3kg (poutre alu ICE) et 9kg (poutre acier BEV)</t>
  </si>
  <si>
    <t>value from 3kg (alloy beam for ICE) to 9kg (steel beam for BEV)</t>
  </si>
  <si>
    <t>TAPIS</t>
  </si>
  <si>
    <t>Carpet</t>
  </si>
  <si>
    <t>Tapis monopièce</t>
  </si>
  <si>
    <t>1 piece carpet</t>
  </si>
  <si>
    <t>valeur usuelle 6 à 8kg</t>
  </si>
  <si>
    <t>Usual value from 6 to 8kg</t>
  </si>
  <si>
    <t>Tapis coffre</t>
  </si>
  <si>
    <t>trunk carpet</t>
  </si>
  <si>
    <t>valeur usuelle 2 à 4kg</t>
  </si>
  <si>
    <t>Usual value from 2 to 4kg</t>
  </si>
  <si>
    <t>TRANSMISSION</t>
  </si>
  <si>
    <t>Transmission</t>
  </si>
  <si>
    <t>Transmission avant</t>
  </si>
  <si>
    <t>Front transmission</t>
  </si>
  <si>
    <t>Cardan gauche</t>
  </si>
  <si>
    <t>Left shaft</t>
  </si>
  <si>
    <t>C71 --&gt; Used for Unsprung mass calculation</t>
  </si>
  <si>
    <t>Valeur PTF</t>
  </si>
  <si>
    <t>value issue from chassis database</t>
  </si>
  <si>
    <t>Cardan droit</t>
  </si>
  <si>
    <t>Right shaft</t>
  </si>
  <si>
    <t>Cardan droit -&gt; Palier  fixe</t>
  </si>
  <si>
    <t>Right shaft -&gt; Fix bearing</t>
  </si>
  <si>
    <t>Système différentiel</t>
  </si>
  <si>
    <t>Differential gear</t>
  </si>
  <si>
    <t>en général, compris dans masse BV/RG</t>
  </si>
  <si>
    <t>in general, included in the mass of gearbox/reducer</t>
  </si>
  <si>
    <t>Transmission arrière</t>
  </si>
  <si>
    <t>Rear transmission</t>
  </si>
  <si>
    <t>C73 --&gt; Used for Unsprung mass calculation</t>
  </si>
  <si>
    <t>cas d'un 4x4 meca</t>
  </si>
  <si>
    <t>in case of mechanic AWD</t>
  </si>
  <si>
    <t>VITRAGE CAISSE (custode)</t>
  </si>
  <si>
    <t>BIW window</t>
  </si>
  <si>
    <t>Vitre custode</t>
  </si>
  <si>
    <t>Si présentes, valeur moyenne 1kg</t>
  </si>
  <si>
    <t>If present, mean value of 1kg</t>
  </si>
  <si>
    <t>VOLANT</t>
  </si>
  <si>
    <t>Steering wheel</t>
  </si>
  <si>
    <t>Volant</t>
  </si>
  <si>
    <t>Valeur usuelle entre 2 et 2,5kg</t>
  </si>
  <si>
    <t>Usual value from 2 to 2,5kg</t>
  </si>
  <si>
    <t>ZONE LIBRE</t>
  </si>
  <si>
    <t>??</t>
  </si>
  <si>
    <t>???</t>
  </si>
  <si>
    <t>???+Z+AB23836:AH236</t>
  </si>
  <si>
    <t>1) RAPPEL INPUTS :   (used for Mrear calculation)</t>
  </si>
  <si>
    <t>Wheelbase</t>
  </si>
  <si>
    <t>Front wheel : X pos</t>
  </si>
  <si>
    <t>Front wheel : Z pos</t>
  </si>
  <si>
    <t>Rear wheel : Z pos</t>
  </si>
  <si>
    <t>2) MASS &amp; CoG CALCULATION :   (used in 'OUTPUT - Mass &amp; CoG' sheet)</t>
  </si>
  <si>
    <t>Global vehicle mass</t>
  </si>
  <si>
    <t>Front mass</t>
  </si>
  <si>
    <t>Rear mass</t>
  </si>
  <si>
    <t>CoG - X</t>
  </si>
  <si>
    <t>CoG - Y</t>
  </si>
  <si>
    <t>CoG - Z
Wheels at REF Ground</t>
  </si>
  <si>
    <t>CoG - Z
Wheels at CURB Ground</t>
  </si>
  <si>
    <t>CoG - Z
Wheels at GVW Ground</t>
  </si>
  <si>
    <t>Unsprung mass :</t>
  </si>
  <si>
    <t>Unsprung mass : Ft axle</t>
  </si>
  <si>
    <t>Unsprung mass : Rr axle</t>
  </si>
  <si>
    <t>Unsprung total mass :</t>
  </si>
  <si>
    <t>Curb vehicle weight    /    Reference Ground + Curb Ground :</t>
  </si>
  <si>
    <t>Total Veh  : Spung + Unsprung</t>
  </si>
  <si>
    <t>Sprung mass :</t>
  </si>
  <si>
    <t>Gross Veh Weight   /   Reference Ground + Curb Ground + GVW Ground :</t>
  </si>
  <si>
    <t>Options :</t>
  </si>
  <si>
    <t>Passengers Row1 :</t>
  </si>
  <si>
    <t>Passengers Row2 :</t>
  </si>
  <si>
    <t>Passengers Row3 :</t>
  </si>
  <si>
    <t>EMC :</t>
  </si>
  <si>
    <r>
      <rPr>
        <sz val="11"/>
        <color rgb="FF00B050"/>
        <rFont val="Calibri"/>
        <family val="2"/>
      </rPr>
      <t>X cdg total X Massse Totale</t>
    </r>
    <r>
      <rPr>
        <sz val="11"/>
        <rFont val="Calibri"/>
        <family val="2"/>
      </rPr>
      <t xml:space="preserve"> = </t>
    </r>
    <r>
      <rPr>
        <sz val="11"/>
        <color theme="4"/>
        <rFont val="Calibri"/>
        <family val="2"/>
      </rPr>
      <t>Xcdg unspung AV X Masse Unsprung AV</t>
    </r>
    <r>
      <rPr>
        <sz val="11"/>
        <rFont val="Calibri"/>
        <family val="2"/>
      </rPr>
      <t xml:space="preserve"> + </t>
    </r>
    <r>
      <rPr>
        <sz val="11"/>
        <color rgb="FF7030A0"/>
        <rFont val="Calibri"/>
        <family val="2"/>
      </rPr>
      <t>Xcdg unspung AR X Masse Unsprung AR</t>
    </r>
    <r>
      <rPr>
        <sz val="11"/>
        <rFont val="Calibri"/>
        <family val="2"/>
      </rPr>
      <t xml:space="preserve"> + </t>
    </r>
    <r>
      <rPr>
        <sz val="11"/>
        <color rgb="FFFFC000"/>
        <rFont val="Calibri"/>
        <family val="2"/>
      </rPr>
      <t>Xcdg Sprung  X Masse Sprung</t>
    </r>
  </si>
  <si>
    <r>
      <t xml:space="preserve">Xcdg Sprung = </t>
    </r>
    <r>
      <rPr>
        <sz val="11"/>
        <rFont val="Calibri"/>
        <family val="2"/>
      </rPr>
      <t>(</t>
    </r>
    <r>
      <rPr>
        <sz val="11"/>
        <color theme="9"/>
        <rFont val="Calibri"/>
        <family val="2"/>
      </rPr>
      <t>X cdg total X Massse Totale</t>
    </r>
    <r>
      <rPr>
        <sz val="11"/>
        <color rgb="FFFFC000"/>
        <rFont val="Calibri"/>
        <family val="2"/>
      </rPr>
      <t xml:space="preserve"> - </t>
    </r>
    <r>
      <rPr>
        <sz val="11"/>
        <color theme="8"/>
        <rFont val="Calibri"/>
        <family val="2"/>
      </rPr>
      <t xml:space="preserve">Xcdg unspung AV X Masse Unsprung AV - </t>
    </r>
    <r>
      <rPr>
        <sz val="11"/>
        <color rgb="FF7030A0"/>
        <rFont val="Calibri"/>
        <family val="2"/>
      </rPr>
      <t>Xcdg unspung AR X Masse Unsprung AR</t>
    </r>
    <r>
      <rPr>
        <sz val="11"/>
        <rFont val="Calibri"/>
        <family val="2"/>
      </rPr>
      <t>)</t>
    </r>
    <r>
      <rPr>
        <sz val="11"/>
        <color rgb="FF7030A0"/>
        <rFont val="Calibri"/>
        <family val="2"/>
      </rPr>
      <t xml:space="preserve">  /  </t>
    </r>
    <r>
      <rPr>
        <sz val="11"/>
        <color theme="7"/>
        <rFont val="Calibri"/>
        <family val="2"/>
      </rPr>
      <t>Masse Srung</t>
    </r>
  </si>
  <si>
    <t>UNSPRUNG MASS ESTIMATION</t>
  </si>
  <si>
    <t>COMPARISON WITH A REFERENCE VEHICLE</t>
  </si>
  <si>
    <t>Estimated with figures from sheet 'Evaluations mass+CoG'</t>
  </si>
  <si>
    <t>Copy here the unsprung mass of a refrence vehicle</t>
  </si>
  <si>
    <r>
      <t xml:space="preserve">If delta between Estimation versus Reference &lt; 3% : </t>
    </r>
    <r>
      <rPr>
        <b/>
        <sz val="11"/>
        <color rgb="FF00B050"/>
        <rFont val="Calibri"/>
        <family val="2"/>
      </rPr>
      <t>Green</t>
    </r>
  </si>
  <si>
    <r>
      <t xml:space="preserve">If delta between Estimation versus Reference &gt; 3% : </t>
    </r>
    <r>
      <rPr>
        <sz val="11"/>
        <color rgb="FFFF0000"/>
        <rFont val="Calibri"/>
        <family val="2"/>
      </rPr>
      <t>Red</t>
    </r>
  </si>
  <si>
    <t>Plaque de conception</t>
  </si>
  <si>
    <t>Finition</t>
  </si>
  <si>
    <t>Sièges</t>
  </si>
  <si>
    <t>Hybridation</t>
  </si>
  <si>
    <t>Pack technique</t>
  </si>
  <si>
    <t>Spécificité technique</t>
  </si>
  <si>
    <t>Charge utile</t>
  </si>
  <si>
    <t>Roues</t>
  </si>
  <si>
    <t>Pôle</t>
  </si>
  <si>
    <t>Moteur</t>
  </si>
  <si>
    <t>Boite</t>
  </si>
  <si>
    <t>Màj du :</t>
  </si>
  <si>
    <t>Précédente diffusion :</t>
  </si>
  <si>
    <t>LES MASSES CI-DESSOUS NE SONT PAS DES VALEURS HOMOLOGUEES. POUR CES DERNIERES CONTACTER LE SERVICE HOMOLOGATION</t>
  </si>
  <si>
    <t>MASSE A VIDE</t>
  </si>
  <si>
    <t>EQUIPEMENTS OPTIONNELS</t>
  </si>
  <si>
    <t>MOTEUR NU</t>
  </si>
  <si>
    <t>HABILLAGE MOTEUR</t>
  </si>
  <si>
    <t>BOITE DE VITESSE (avec couplage)</t>
  </si>
  <si>
    <t>ADAPTATION (avec fluides)</t>
  </si>
  <si>
    <t>DETAIL MASSES NON SUSPENDUES (MNS)</t>
  </si>
  <si>
    <t>components mass without coefficient</t>
  </si>
  <si>
    <t>MNS with coefficient applied :</t>
  </si>
  <si>
    <t>Delta (%) between Estimation and Refrence</t>
  </si>
  <si>
    <t>Masses non suspendues AV</t>
  </si>
  <si>
    <t>Coeff</t>
  </si>
  <si>
    <t>FRN</t>
  </si>
  <si>
    <t>TRANSMISSION AV</t>
  </si>
  <si>
    <t>C61</t>
  </si>
  <si>
    <t>TRANSMISSION A JOINTS AV</t>
  </si>
  <si>
    <t>C71</t>
  </si>
  <si>
    <t>ELEMENTS COMMUNS 1C7</t>
  </si>
  <si>
    <t>C7Z</t>
  </si>
  <si>
    <t>MOYEU – ROULEMENT ROUE AV</t>
  </si>
  <si>
    <t>E13</t>
  </si>
  <si>
    <t>ROUE PRINCIPALE</t>
  </si>
  <si>
    <t>E31</t>
  </si>
  <si>
    <t>ENJOLIVEUR ROUE</t>
  </si>
  <si>
    <t>E33</t>
  </si>
  <si>
    <t>INDICATEUR PERTE PRESSION</t>
  </si>
  <si>
    <t>E34</t>
  </si>
  <si>
    <t>DISQUE – TAMBOUR AV</t>
  </si>
  <si>
    <t>F11</t>
  </si>
  <si>
    <t>ETRIER – PLATEAU AV (SANS CABLE)</t>
  </si>
  <si>
    <t>F21</t>
  </si>
  <si>
    <t>HYD</t>
  </si>
  <si>
    <t>ELEMENT SUSPENSION AV HYDROPNEUMATIQUE</t>
  </si>
  <si>
    <t>E16</t>
  </si>
  <si>
    <t>BERCEAU – TRAVERSE TRAIN AV</t>
  </si>
  <si>
    <t>E11</t>
  </si>
  <si>
    <t>TRIANGLE BRAS ESSIEU RIGIDE</t>
  </si>
  <si>
    <t>E12</t>
  </si>
  <si>
    <t>ELEMENT SUSPENSION AV METALLIQUE</t>
  </si>
  <si>
    <t>E14</t>
  </si>
  <si>
    <t>ANTIDEVERS AV</t>
  </si>
  <si>
    <t>E15</t>
  </si>
  <si>
    <t>Masses non suspendues AR</t>
  </si>
  <si>
    <t>TD</t>
  </si>
  <si>
    <t>MB</t>
  </si>
  <si>
    <t>TRANSMISSION AR ROUES INDEPENDANTES</t>
  </si>
  <si>
    <t>C62</t>
  </si>
  <si>
    <t>TRANSMISSION AR TRAIN RIGIDE</t>
  </si>
  <si>
    <t>C63</t>
  </si>
  <si>
    <t>TRANSMISSION A JOINTS AR</t>
  </si>
  <si>
    <t>C73</t>
  </si>
  <si>
    <t>MOYEU – ROULEMENT ROUE AR</t>
  </si>
  <si>
    <t>E24</t>
  </si>
  <si>
    <t>DISQUE – TAMBOUR AR</t>
  </si>
  <si>
    <t>F31</t>
  </si>
  <si>
    <t>ETRIER – PLATEAU AR (SANS CABLE)</t>
  </si>
  <si>
    <t>F41</t>
  </si>
  <si>
    <t>ELEMENT SUSPENSION AR HYDROPNEUMATIQUE</t>
  </si>
  <si>
    <t>E28</t>
  </si>
  <si>
    <t>BERCEAU – TRAVERSE TRAIN AR</t>
  </si>
  <si>
    <t>E21</t>
  </si>
  <si>
    <t>BRAS SUSPENSION AR – ENS. BRAS – FUSEE</t>
  </si>
  <si>
    <t>E22</t>
  </si>
  <si>
    <t>ESSIEU RIGIDE – GUIDAGE</t>
  </si>
  <si>
    <t>E23</t>
  </si>
  <si>
    <t>ELEMENT SUSPENSION AR METALLIQUE</t>
  </si>
  <si>
    <t>E25</t>
  </si>
  <si>
    <t>ANTIDEVERS AR</t>
  </si>
  <si>
    <t>E26</t>
  </si>
  <si>
    <t>Mass &amp; CoG Synthesis :</t>
  </si>
  <si>
    <t>A) CURB WEIGHT LOAD CASE</t>
  </si>
  <si>
    <t>MASS :</t>
  </si>
  <si>
    <t>COG POSITION</t>
  </si>
  <si>
    <r>
      <t>Wheels at '</t>
    </r>
    <r>
      <rPr>
        <b/>
        <sz val="11"/>
        <color rgb="FFFF0000"/>
        <rFont val="Arial"/>
        <family val="2"/>
      </rPr>
      <t>REF load case'</t>
    </r>
    <r>
      <rPr>
        <sz val="11"/>
        <color rgb="FFFF0000"/>
        <rFont val="Arial"/>
        <family val="2"/>
      </rPr>
      <t xml:space="preserve"> position</t>
    </r>
  </si>
  <si>
    <r>
      <t>Wheels at '</t>
    </r>
    <r>
      <rPr>
        <b/>
        <sz val="11"/>
        <color rgb="FFFF0000"/>
        <rFont val="Arial"/>
        <family val="2"/>
      </rPr>
      <t>CURB load case'</t>
    </r>
    <r>
      <rPr>
        <sz val="11"/>
        <color rgb="FFFF0000"/>
        <rFont val="Arial"/>
        <family val="2"/>
      </rPr>
      <t xml:space="preserve"> position</t>
    </r>
  </si>
  <si>
    <t>Curb weight :</t>
  </si>
  <si>
    <t>Total Veh</t>
  </si>
  <si>
    <t xml:space="preserve">X </t>
  </si>
  <si>
    <t>Z / veh referential</t>
  </si>
  <si>
    <t>Z / ground</t>
  </si>
  <si>
    <r>
      <t xml:space="preserve">Masses Suspendues / </t>
    </r>
    <r>
      <rPr>
        <b/>
        <sz val="11"/>
        <color rgb="FF0000FF"/>
        <rFont val="Arial"/>
        <family val="2"/>
      </rPr>
      <t>Sprung mass :</t>
    </r>
  </si>
  <si>
    <r>
      <t xml:space="preserve">Masses Non Suspendues / </t>
    </r>
    <r>
      <rPr>
        <b/>
        <sz val="11"/>
        <color rgb="FF0000FF"/>
        <rFont val="Arial"/>
        <family val="2"/>
      </rPr>
      <t>Unsprung mass :</t>
    </r>
  </si>
  <si>
    <t>Front axle</t>
  </si>
  <si>
    <t>Total</t>
  </si>
  <si>
    <r>
      <t xml:space="preserve">Total Veh / </t>
    </r>
    <r>
      <rPr>
        <b/>
        <sz val="11"/>
        <color rgb="FF0000FF"/>
        <rFont val="Arial"/>
        <family val="2"/>
      </rPr>
      <t xml:space="preserve">Sprung + Unsprung : </t>
    </r>
  </si>
  <si>
    <t>Ft repartition  :</t>
  </si>
  <si>
    <t>Output for 'Lot A' :</t>
  </si>
  <si>
    <t>Front (ZA1)</t>
  </si>
  <si>
    <t>Rear (ZA2)</t>
  </si>
  <si>
    <r>
      <t xml:space="preserve">Position centre Roue - ZA theo </t>
    </r>
    <r>
      <rPr>
        <b/>
        <sz val="11"/>
        <color indexed="12"/>
        <rFont val="Arial"/>
        <family val="2"/>
      </rPr>
      <t>(Curb mass load case)</t>
    </r>
  </si>
  <si>
    <r>
      <t xml:space="preserve">Rayon du pneu sous charge </t>
    </r>
    <r>
      <rPr>
        <b/>
        <sz val="11"/>
        <color indexed="12"/>
        <rFont val="Arial"/>
        <family val="2"/>
      </rPr>
      <t>(Curb mass load case)</t>
    </r>
  </si>
  <si>
    <r>
      <t xml:space="preserve">Z sol dans rep véh. </t>
    </r>
    <r>
      <rPr>
        <b/>
        <sz val="11"/>
        <color indexed="12"/>
        <rFont val="Arial"/>
        <family val="2"/>
      </rPr>
      <t>(Curb mass load case)</t>
    </r>
  </si>
  <si>
    <t>B) GROSS VEHICLE WEIGHT LOAD CASE</t>
  </si>
  <si>
    <r>
      <t xml:space="preserve">Related to </t>
    </r>
    <r>
      <rPr>
        <b/>
        <sz val="11"/>
        <color rgb="FFFF0000"/>
        <rFont val="Arial"/>
        <family val="2"/>
      </rPr>
      <t>GVW load case</t>
    </r>
    <r>
      <rPr>
        <sz val="11"/>
        <color rgb="FFFF0000"/>
        <rFont val="Arial"/>
        <family val="2"/>
      </rPr>
      <t xml:space="preserve"> ground</t>
    </r>
  </si>
  <si>
    <t>GVW :</t>
  </si>
  <si>
    <r>
      <t xml:space="preserve">Z sol dans rep véh. </t>
    </r>
    <r>
      <rPr>
        <b/>
        <sz val="11"/>
        <color indexed="12"/>
        <rFont val="Arial"/>
        <family val="2"/>
      </rPr>
      <t>(GVW load case)</t>
    </r>
  </si>
  <si>
    <t>C) 1P5L LOAD CASE</t>
  </si>
  <si>
    <t>1P5L :</t>
  </si>
  <si>
    <t>Curb mass (total vehicle) :</t>
  </si>
  <si>
    <t>- 1 passenger</t>
  </si>
  <si>
    <t>- 5 liter of fuel only</t>
  </si>
  <si>
    <t xml:space="preserve">Total Veh (1P5L) : </t>
  </si>
  <si>
    <t xml:space="preserve"> Bilan par périmètre (estimé, pour info)   /  Assesment per perimeter, for information</t>
  </si>
  <si>
    <t>Top Hat :</t>
  </si>
  <si>
    <t>SCEG-sil</t>
  </si>
  <si>
    <t>ICDV-Wheels</t>
  </si>
  <si>
    <t>Sub-total :</t>
  </si>
  <si>
    <t>SCEG-Base</t>
  </si>
  <si>
    <t>??? Or Empty</t>
  </si>
  <si>
    <t>Rappel INPUTS, for information :</t>
  </si>
  <si>
    <t>Rappel inputs :</t>
  </si>
  <si>
    <t>- Opt :</t>
  </si>
  <si>
    <t>- Passenger :</t>
  </si>
  <si>
    <t>- EMC :</t>
  </si>
  <si>
    <t>IMPORTANT : Last update of DEC5 &lt;--&gt; A2MAC1 Dictionary is stored into document : 00987_22_00053</t>
  </si>
  <si>
    <t>Lot</t>
  </si>
  <si>
    <t>Pièce</t>
  </si>
  <si>
    <t>Découpage</t>
  </si>
  <si>
    <t>Check</t>
  </si>
  <si>
    <t>Lot + Dec</t>
  </si>
  <si>
    <t>Niv 1</t>
  </si>
  <si>
    <t>Niv 2</t>
  </si>
  <si>
    <t>---</t>
  </si>
  <si>
    <t>AFFECTATION LOT/DECOUPAGE NON PREVUE</t>
  </si>
  <si>
    <t>0_Total</t>
  </si>
  <si>
    <t>--- 0_Total</t>
  </si>
  <si>
    <t>ABA</t>
  </si>
  <si>
    <t>CONDITIONNEMENT</t>
  </si>
  <si>
    <t>83G</t>
  </si>
  <si>
    <t>ok</t>
  </si>
  <si>
    <t>ABA 83G</t>
  </si>
  <si>
    <t>NON AFFECTE</t>
  </si>
  <si>
    <t>PIECES VEHICULE REPETITIVES (OU A CARACTERE REPETITIF)</t>
  </si>
  <si>
    <t>73R</t>
  </si>
  <si>
    <t>ABA 73R</t>
  </si>
  <si>
    <t>BV</t>
  </si>
  <si>
    <t>CONVERTISSEUR</t>
  </si>
  <si>
    <t>C12</t>
  </si>
  <si>
    <t>ABA C12</t>
  </si>
  <si>
    <t>COUPLEUR</t>
  </si>
  <si>
    <t>C13</t>
  </si>
  <si>
    <t>ABA C13</t>
  </si>
  <si>
    <t>BOITE VITESSES AUTOMATIQUE</t>
  </si>
  <si>
    <t>C24</t>
  </si>
  <si>
    <t>ABA C24</t>
  </si>
  <si>
    <t>PILOTAGE ELECTRONIQUE TRANSMISSION AUTOMATIQUE</t>
  </si>
  <si>
    <t>C26</t>
  </si>
  <si>
    <t>ABA C26</t>
  </si>
  <si>
    <t>CARTER BOITE VITESSES AUTOMATIQUE</t>
  </si>
  <si>
    <t>C27</t>
  </si>
  <si>
    <t>ABA C27</t>
  </si>
  <si>
    <t>VARIATEUR TRANSMISSION CONTINU</t>
  </si>
  <si>
    <t>C28</t>
  </si>
  <si>
    <t>ABA C28</t>
  </si>
  <si>
    <t>EQUIPEMENT ELECTRIQUE BOITE VITESSES</t>
  </si>
  <si>
    <t>C29</t>
  </si>
  <si>
    <t>ABA C29</t>
  </si>
  <si>
    <t>MARQUAGE TRANSMISSION</t>
  </si>
  <si>
    <t>C91</t>
  </si>
  <si>
    <t>ABA C91</t>
  </si>
  <si>
    <t>MONTAGE BOITE VITESSES AUTOMATIQUE</t>
  </si>
  <si>
    <t>CZC</t>
  </si>
  <si>
    <t>ABA CZC</t>
  </si>
  <si>
    <t>NON REPARTI</t>
  </si>
  <si>
    <t>NR-</t>
  </si>
  <si>
    <t>ABA NR-</t>
  </si>
  <si>
    <t>AEE</t>
  </si>
  <si>
    <t>COMPOSANTS FAISCEAUX</t>
  </si>
  <si>
    <t>73F</t>
  </si>
  <si>
    <t>AEE 73F</t>
  </si>
  <si>
    <t>AEE 83G</t>
  </si>
  <si>
    <t>STG ARCHITECTURE ELECTRICITE ELECTRONIQUE</t>
  </si>
  <si>
    <t>98B</t>
  </si>
  <si>
    <t>AEE 98B</t>
  </si>
  <si>
    <t>AEE 73R</t>
  </si>
  <si>
    <t>Faisceau</t>
  </si>
  <si>
    <t>ALLUMAGE</t>
  </si>
  <si>
    <t>A33</t>
  </si>
  <si>
    <t>AEE A33</t>
  </si>
  <si>
    <t>EQUIPEMENT DIESEL</t>
  </si>
  <si>
    <t>A34</t>
  </si>
  <si>
    <t>AEE A34</t>
  </si>
  <si>
    <t>BOITIER PILOTAGE ELECTRONIQUE MULTIFONCTIONNEL (MECANIQUE)</t>
  </si>
  <si>
    <t>A36</t>
  </si>
  <si>
    <t>AEE A36</t>
  </si>
  <si>
    <t>AEE C26</t>
  </si>
  <si>
    <t>DIVERS EE</t>
  </si>
  <si>
    <t>AEE NR-</t>
  </si>
  <si>
    <t>EQUIPEMENT ELECTRIQUE ASSISE AV</t>
  </si>
  <si>
    <t>Y1L</t>
  </si>
  <si>
    <t>AEE Y1L</t>
  </si>
  <si>
    <t>EQUIPEMENT ELECTRIQUE ASSISE AR</t>
  </si>
  <si>
    <t>Y2K</t>
  </si>
  <si>
    <t>AEE Y2K</t>
  </si>
  <si>
    <t>FIXATION – REFROIDISSEMENT BATTERIE</t>
  </si>
  <si>
    <t>Z1B</t>
  </si>
  <si>
    <t>AEE Z1B</t>
  </si>
  <si>
    <t>BATTERIE</t>
  </si>
  <si>
    <t>ELEMENTS COMMUNS 3Z1</t>
  </si>
  <si>
    <t>Z1Z</t>
  </si>
  <si>
    <t>AEE Z1Z</t>
  </si>
  <si>
    <t>SUPPORT BATTERIE (SI AMOVIBLE)</t>
  </si>
  <si>
    <t>Z1C</t>
  </si>
  <si>
    <t>AEE Z1C</t>
  </si>
  <si>
    <t>EQUIPEMENT ELECTRIQUE PROTECTION – DERIVATION</t>
  </si>
  <si>
    <t>Z5U</t>
  </si>
  <si>
    <t>AEE Z5U</t>
  </si>
  <si>
    <t>Système porte fusibles/relais</t>
  </si>
  <si>
    <t>CABLAGE BATTERIE SERVITUDE – TRACTION</t>
  </si>
  <si>
    <t>Z9A</t>
  </si>
  <si>
    <t>AEE Z9A</t>
  </si>
  <si>
    <t>Câblage de puissance</t>
  </si>
  <si>
    <t>RANGEMENT ELECTRICITE – ELECTRONIQUE (BOITE, SUPPORT)</t>
  </si>
  <si>
    <t>Z9F</t>
  </si>
  <si>
    <t>AEE Z9F</t>
  </si>
  <si>
    <t>ELEMENT CONNEXION ET RELAIS MULTIFONCTIONNEL</t>
  </si>
  <si>
    <t>Z9G</t>
  </si>
  <si>
    <t>AEE Z9G</t>
  </si>
  <si>
    <t>FAISCEAU MOTEUR</t>
  </si>
  <si>
    <t>Z9J</t>
  </si>
  <si>
    <t>AEE Z9J</t>
  </si>
  <si>
    <t>FAISCEAU EQUIPEMENT MECANIQUE – MOTEUR</t>
  </si>
  <si>
    <t>Z9K</t>
  </si>
  <si>
    <t>AEE Z9K</t>
  </si>
  <si>
    <t>FAISCEAU PRINCIPAL</t>
  </si>
  <si>
    <t>Z9L</t>
  </si>
  <si>
    <t>AEE Z9L</t>
  </si>
  <si>
    <t>FAISCEAU FACADE AV</t>
  </si>
  <si>
    <t>Z9M</t>
  </si>
  <si>
    <t>AEE Z9M</t>
  </si>
  <si>
    <t>FAISCEAU PLANCHE BORD</t>
  </si>
  <si>
    <t>Z9N</t>
  </si>
  <si>
    <t>AEE Z9N</t>
  </si>
  <si>
    <t>FAISCEAU ACCES AR</t>
  </si>
  <si>
    <t>Z9P</t>
  </si>
  <si>
    <t>AEE Z9P</t>
  </si>
  <si>
    <t>FAISCEAU PORTE</t>
  </si>
  <si>
    <t>Z9R</t>
  </si>
  <si>
    <t>AEE Z9R</t>
  </si>
  <si>
    <t>FAISCEAU HABITACLE</t>
  </si>
  <si>
    <t>Z9S</t>
  </si>
  <si>
    <t>AEE Z9S</t>
  </si>
  <si>
    <t>ELEMENTS COMMUNS 3Z9</t>
  </si>
  <si>
    <t>Z9Z</t>
  </si>
  <si>
    <t>AEE Z9Z</t>
  </si>
  <si>
    <t>FAISCEAU COMPLEMENTAIRE HABITACLE</t>
  </si>
  <si>
    <t>Z9T</t>
  </si>
  <si>
    <t>AEE Z9T</t>
  </si>
  <si>
    <t>FIXATION CABLAGE BATTERIE SERVITUDE – TRACTION</t>
  </si>
  <si>
    <t>ZAA</t>
  </si>
  <si>
    <t>AEE ZAA</t>
  </si>
  <si>
    <t>Systeme support faisceaux</t>
  </si>
  <si>
    <t>FIXATION FAISCEAU MOTEUR</t>
  </si>
  <si>
    <t>ZAJ</t>
  </si>
  <si>
    <t>AEE ZAJ</t>
  </si>
  <si>
    <t>FIXATION FAISCEAU EQUIPEMENT MECANIQUE – MOTEUR</t>
  </si>
  <si>
    <t>ZAK</t>
  </si>
  <si>
    <t>AEE ZAK</t>
  </si>
  <si>
    <t>FIXATION FAISCEAU PRINCIPAL</t>
  </si>
  <si>
    <t>ZAL</t>
  </si>
  <si>
    <t>AEE ZAL</t>
  </si>
  <si>
    <t>FIXATION FAISCEAU FACADE AV</t>
  </si>
  <si>
    <t>ZAM</t>
  </si>
  <si>
    <t>AEE ZAM</t>
  </si>
  <si>
    <t>FIXATION FAISCEAU PLANCHE BORD</t>
  </si>
  <si>
    <t>ZAN</t>
  </si>
  <si>
    <t>AEE ZAN</t>
  </si>
  <si>
    <t>FIXATION FAISCEAU ACCES AR</t>
  </si>
  <si>
    <t>ZAP</t>
  </si>
  <si>
    <t>AEE ZAP</t>
  </si>
  <si>
    <t>FIXATION FAISCEAU PORTE</t>
  </si>
  <si>
    <t>ZAR</t>
  </si>
  <si>
    <t>AEE ZAR</t>
  </si>
  <si>
    <t>FIXATION FAISCEAU HABITACLE</t>
  </si>
  <si>
    <t>ZAS</t>
  </si>
  <si>
    <t>AEE ZAS</t>
  </si>
  <si>
    <t>ELEMENTS COMMUNS 3ZA</t>
  </si>
  <si>
    <t>ZAZ</t>
  </si>
  <si>
    <t>AEE ZAZ</t>
  </si>
  <si>
    <t>FIXATION FAISCEAU COMPLEMENTAIRE HABITACLE</t>
  </si>
  <si>
    <t>ZAT</t>
  </si>
  <si>
    <t>AEE ZAT</t>
  </si>
  <si>
    <t>SCHEMA PRINCIPE ELECTRIQUE MOTEUR</t>
  </si>
  <si>
    <t>ZBA</t>
  </si>
  <si>
    <t>AEE ZBA</t>
  </si>
  <si>
    <t>SCHEMA PRINCIPE ELECTRIQUE MECANIQUE</t>
  </si>
  <si>
    <t>ZBB</t>
  </si>
  <si>
    <t>AEE ZBB</t>
  </si>
  <si>
    <t>SCHEMA PRINCIPE ELECTRIQUE CARROSSERIE</t>
  </si>
  <si>
    <t>ZBC</t>
  </si>
  <si>
    <t>AEE ZBC</t>
  </si>
  <si>
    <t>SCHEMA PRINCIPE ELECTRIQUE ENSEMBLE VEHICULE</t>
  </si>
  <si>
    <t>ZBD</t>
  </si>
  <si>
    <t>AEE ZBD</t>
  </si>
  <si>
    <t>MULTIPLEXAGE – RESEAUX INTERSYSTEMES</t>
  </si>
  <si>
    <t>ZBE</t>
  </si>
  <si>
    <t>AEE ZBE</t>
  </si>
  <si>
    <t>MULTIPLEXAGE – RESEAUX CONFORT</t>
  </si>
  <si>
    <t>ZBF</t>
  </si>
  <si>
    <t>AEE ZBF</t>
  </si>
  <si>
    <t>MULTIPLEXAGE – RESEAUX CARROSSERIE</t>
  </si>
  <si>
    <t>ZBG</t>
  </si>
  <si>
    <t>AEE ZBG</t>
  </si>
  <si>
    <t>ELEMENTS COMMUNS 3ZB</t>
  </si>
  <si>
    <t>ZBZ</t>
  </si>
  <si>
    <t>AEE ZBZ</t>
  </si>
  <si>
    <t>MULTIPLEXAGE - RESEAUX LIN BSI</t>
  </si>
  <si>
    <t>ZBJ</t>
  </si>
  <si>
    <t>AEE ZBJ</t>
  </si>
  <si>
    <t>MONTAGE – FINITION</t>
  </si>
  <si>
    <t>ZZA</t>
  </si>
  <si>
    <t>AEE ZZA</t>
  </si>
  <si>
    <t>AMO</t>
  </si>
  <si>
    <t>AMO 0_Total</t>
  </si>
  <si>
    <t>AMO 83G</t>
  </si>
  <si>
    <t>AMO 73R</t>
  </si>
  <si>
    <t>ALIMENTATION CARBURANT</t>
  </si>
  <si>
    <t>A25</t>
  </si>
  <si>
    <t>AMO A25</t>
  </si>
  <si>
    <t>ALIMENTATION AIR</t>
  </si>
  <si>
    <t>A26</t>
  </si>
  <si>
    <t>AMO A26</t>
  </si>
  <si>
    <t>AMO A36</t>
  </si>
  <si>
    <t>CAPTEUR PILOTAGE ELECTRONIQUE</t>
  </si>
  <si>
    <t>A37</t>
  </si>
  <si>
    <t>AMO A37</t>
  </si>
  <si>
    <t>ACTIONNEUR – PILOTAGE DEPOLLUTION</t>
  </si>
  <si>
    <t>A39</t>
  </si>
  <si>
    <t>AMO A39</t>
  </si>
  <si>
    <t>VENTILATEUR – BUSE</t>
  </si>
  <si>
    <t>B11</t>
  </si>
  <si>
    <t>AMO B11</t>
  </si>
  <si>
    <t>RADIATEUR EAU – CIRCUIT PRECHAUFFAGE</t>
  </si>
  <si>
    <t>B12</t>
  </si>
  <si>
    <t>AMO B12</t>
  </si>
  <si>
    <t>ECHANGEUR HUILE MOTEUR – CIRCUIT PRECHAUFFAGE</t>
  </si>
  <si>
    <t>B13</t>
  </si>
  <si>
    <t>AMO B13</t>
  </si>
  <si>
    <t>ELEMENTS COMMUNS 1B1</t>
  </si>
  <si>
    <t>B1Z</t>
  </si>
  <si>
    <t>AMO B1Z</t>
  </si>
  <si>
    <t>EQUIPEMENT ELECTRIQUE ECHANGE THERMIQUE</t>
  </si>
  <si>
    <t>B14</t>
  </si>
  <si>
    <t>AMO B14</t>
  </si>
  <si>
    <t>LIGNE ECHAPPEMENT – CATALYSEUR</t>
  </si>
  <si>
    <t>B21</t>
  </si>
  <si>
    <t>AMO B21</t>
  </si>
  <si>
    <t>DISPOSITIF PILOTAGE ECHAPPEMENT</t>
  </si>
  <si>
    <t>B23</t>
  </si>
  <si>
    <t>AMO B23</t>
  </si>
  <si>
    <t>PILOTAGE - CONTROLE RECUPERATEUR THERMIQUE ECHAPPEMENT</t>
  </si>
  <si>
    <t>B24</t>
  </si>
  <si>
    <t>AMO B24</t>
  </si>
  <si>
    <t>DISPOSITIF DEPOLLUTION ECHAPPEMENT</t>
  </si>
  <si>
    <t>B25</t>
  </si>
  <si>
    <t>AMO B25</t>
  </si>
  <si>
    <t>ADDBLUE</t>
  </si>
  <si>
    <t>RESERVOIR – REMPLISSAGE</t>
  </si>
  <si>
    <t>B31</t>
  </si>
  <si>
    <t>AMO B31</t>
  </si>
  <si>
    <t>CANALISATION CARBURANT</t>
  </si>
  <si>
    <t>B32</t>
  </si>
  <si>
    <t>AMO B32</t>
  </si>
  <si>
    <t>EQUIPEMENT ELECTRIQUE RESERVOIR CARBURANT</t>
  </si>
  <si>
    <t>B33</t>
  </si>
  <si>
    <t>AMO B33</t>
  </si>
  <si>
    <t>ABSORPTION VAPEURS CARBURANT</t>
  </si>
  <si>
    <t>B34</t>
  </si>
  <si>
    <t>AMO B34</t>
  </si>
  <si>
    <t>ELEMENTS COMMUNS 1B3</t>
  </si>
  <si>
    <t>B3Z</t>
  </si>
  <si>
    <t>AMO B3Z</t>
  </si>
  <si>
    <t>RESERVOIR – REMPLISSAGE BICARBURATION</t>
  </si>
  <si>
    <t>B35</t>
  </si>
  <si>
    <t>AMO B35</t>
  </si>
  <si>
    <t>RESERVOIR ADDITIF – REMPLISSAGE</t>
  </si>
  <si>
    <t>B41</t>
  </si>
  <si>
    <t>AMO B41</t>
  </si>
  <si>
    <t>RESERVOIR ADDITIF</t>
  </si>
  <si>
    <t>CANALISATION ADDITIF</t>
  </si>
  <si>
    <t>B42</t>
  </si>
  <si>
    <t>AMO B42</t>
  </si>
  <si>
    <t>ELEMENTS COMMUNS 1B4</t>
  </si>
  <si>
    <t>B4Z</t>
  </si>
  <si>
    <t>AMO B4Z</t>
  </si>
  <si>
    <t>EQUIPEMENT ELECTRIQUE RESERVOIR ADDITIF</t>
  </si>
  <si>
    <t>B43</t>
  </si>
  <si>
    <t>AMO B43</t>
  </si>
  <si>
    <t>MARQUAGE ELEMENTS LIES AU MOTEUR</t>
  </si>
  <si>
    <t>B91</t>
  </si>
  <si>
    <t>AMO B91</t>
  </si>
  <si>
    <t>ASSEMBLAGE – PREPARATION CONDITIONNEMENT</t>
  </si>
  <si>
    <t>BZA</t>
  </si>
  <si>
    <t>AMO BZA</t>
  </si>
  <si>
    <t>PILOTAGE SUSPENSION GMP</t>
  </si>
  <si>
    <t>D12</t>
  </si>
  <si>
    <t>AMO D12</t>
  </si>
  <si>
    <t>SUPPORT GMP</t>
  </si>
  <si>
    <t>SUPPORT – PEDALES – COIFFES</t>
  </si>
  <si>
    <t>G11</t>
  </si>
  <si>
    <t>AMO G11</t>
  </si>
  <si>
    <t>LIAISON SYSTEME ALIMENTATION</t>
  </si>
  <si>
    <t>G41</t>
  </si>
  <si>
    <t>AMO G41</t>
  </si>
  <si>
    <t>ELEMENTS COMMUNS 1G4</t>
  </si>
  <si>
    <t>G4Z</t>
  </si>
  <si>
    <t>AMO G4Z</t>
  </si>
  <si>
    <t>INTERRUPTEUR COMMANDE MISE EN ACTION – ACCELERATION</t>
  </si>
  <si>
    <t>G44</t>
  </si>
  <si>
    <t>AMO G44</t>
  </si>
  <si>
    <t>AMO NR-</t>
  </si>
  <si>
    <t>CONDENSEUR</t>
  </si>
  <si>
    <t>V5B</t>
  </si>
  <si>
    <t>AMO V5B</t>
  </si>
  <si>
    <t>CONDUIT EAU</t>
  </si>
  <si>
    <t>V5C</t>
  </si>
  <si>
    <t>AMO V5C</t>
  </si>
  <si>
    <t>CONDUIT FLUIDE REFRIGERATION</t>
  </si>
  <si>
    <t>V5D</t>
  </si>
  <si>
    <t>AMO V5D</t>
  </si>
  <si>
    <t>INSONO GROUPE MOTOPROPULSEUR</t>
  </si>
  <si>
    <t>X1C</t>
  </si>
  <si>
    <t>AMO X1C</t>
  </si>
  <si>
    <t>ARM</t>
  </si>
  <si>
    <t>ARM 0_Total</t>
  </si>
  <si>
    <t>ARM 73R</t>
  </si>
  <si>
    <t>CARTER CYLINDRE</t>
  </si>
  <si>
    <t>A11</t>
  </si>
  <si>
    <t>ARM A11</t>
  </si>
  <si>
    <t>ATTELAGE MOBILE</t>
  </si>
  <si>
    <t>A12</t>
  </si>
  <si>
    <t>ARM A12</t>
  </si>
  <si>
    <t>CULASSE – COUVERCLE CULASSE</t>
  </si>
  <si>
    <t>A13</t>
  </si>
  <si>
    <t>ARM A13</t>
  </si>
  <si>
    <t>DISTRIBUTION</t>
  </si>
  <si>
    <t>A14</t>
  </si>
  <si>
    <t>ARM A14</t>
  </si>
  <si>
    <t>GRAISSAGE</t>
  </si>
  <si>
    <t>A15</t>
  </si>
  <si>
    <t>ARM A15</t>
  </si>
  <si>
    <t>POMPE EAU</t>
  </si>
  <si>
    <t>A16</t>
  </si>
  <si>
    <t>ARM A16</t>
  </si>
  <si>
    <t>ELEMENTS COMMUNS 1A1</t>
  </si>
  <si>
    <t>A1Z</t>
  </si>
  <si>
    <t>ARM A1Z</t>
  </si>
  <si>
    <t>SUPPORT – ENTRAINEMENT ACCESSOIRE MOTEUR</t>
  </si>
  <si>
    <t>A18</t>
  </si>
  <si>
    <t>ARM A18</t>
  </si>
  <si>
    <t>INJECTION (DIESEL)</t>
  </si>
  <si>
    <t>A24</t>
  </si>
  <si>
    <t>ARM A24</t>
  </si>
  <si>
    <t>GENERATRICE</t>
  </si>
  <si>
    <t>A31</t>
  </si>
  <si>
    <t>ARM A31</t>
  </si>
  <si>
    <t>ALTERNATEUR</t>
  </si>
  <si>
    <t>Système alternateur</t>
  </si>
  <si>
    <t>COLLECTEUR ECHAPPEMENT</t>
  </si>
  <si>
    <t>A41</t>
  </si>
  <si>
    <t>ARM A41</t>
  </si>
  <si>
    <t>DISPOSITIF ANTIPOLLUTION</t>
  </si>
  <si>
    <t>A42</t>
  </si>
  <si>
    <t>ARM A42</t>
  </si>
  <si>
    <t>MONTAGE – PRESCRIPTIONS – ESSAIS</t>
  </si>
  <si>
    <t>A81</t>
  </si>
  <si>
    <t>ARM A81</t>
  </si>
  <si>
    <t>MARQUAGE MOTEUR – LEVAGE – HABILLAGE</t>
  </si>
  <si>
    <t>A82</t>
  </si>
  <si>
    <t>ARM A82</t>
  </si>
  <si>
    <t>ASSEMBLAGE – PREPARATION – ESSAIS – CONDITIONNEMENT</t>
  </si>
  <si>
    <t>AZA</t>
  </si>
  <si>
    <t>ARM AZA</t>
  </si>
  <si>
    <t>COMPLEMENT</t>
  </si>
  <si>
    <t>AZB</t>
  </si>
  <si>
    <t>ARM AZB</t>
  </si>
  <si>
    <t>ELEMENTS ECONOMIQUES</t>
  </si>
  <si>
    <t>AZC</t>
  </si>
  <si>
    <t>ARM AZC</t>
  </si>
  <si>
    <t>SUPPORT – ELEMENT ELASTIQUE GMP</t>
  </si>
  <si>
    <t>D11</t>
  </si>
  <si>
    <t>ARM D11</t>
  </si>
  <si>
    <t>SUPPORTS GMP</t>
  </si>
  <si>
    <t>SOURCE PRESSION DIRECTION</t>
  </si>
  <si>
    <t>E42</t>
  </si>
  <si>
    <t>ARM E42</t>
  </si>
  <si>
    <t>SOURCE SPECIFIQUE PRESSION DE VIDE</t>
  </si>
  <si>
    <t>F66</t>
  </si>
  <si>
    <t>ARM F66</t>
  </si>
  <si>
    <t>PAV</t>
  </si>
  <si>
    <t>ARM NR-</t>
  </si>
  <si>
    <t>COMPRESSEUR</t>
  </si>
  <si>
    <t>V5A</t>
  </si>
  <si>
    <t>ARM V5A</t>
  </si>
  <si>
    <t>COMPRESSEUR CLIM</t>
  </si>
  <si>
    <t>ASS</t>
  </si>
  <si>
    <t>ASS 0_Total</t>
  </si>
  <si>
    <t>ASS 83G</t>
  </si>
  <si>
    <t>ASS 73R</t>
  </si>
  <si>
    <t xml:space="preserve">BARILLET ASSISE  </t>
  </si>
  <si>
    <t>N4H</t>
  </si>
  <si>
    <t>ASS N4H</t>
  </si>
  <si>
    <t>ASS NR-</t>
  </si>
  <si>
    <t>CEINTURE SECURITE AV</t>
  </si>
  <si>
    <t>U1A</t>
  </si>
  <si>
    <t>ASS U1A</t>
  </si>
  <si>
    <t>CEINTURES SECURITE</t>
  </si>
  <si>
    <t>SAC GONFLABLE LAT</t>
  </si>
  <si>
    <t>U1C</t>
  </si>
  <si>
    <t>ASS U1C</t>
  </si>
  <si>
    <t>ELEMENTS COMMUNS 3U1</t>
  </si>
  <si>
    <t>U1Z</t>
  </si>
  <si>
    <t>ASS U1Z</t>
  </si>
  <si>
    <t>ANTI-SOUS-MARINAGE ACTIF</t>
  </si>
  <si>
    <t>U1D</t>
  </si>
  <si>
    <t>ASS U1D</t>
  </si>
  <si>
    <t>CEINTURE SECURITE AR</t>
  </si>
  <si>
    <t>U2A</t>
  </si>
  <si>
    <t>ASS U2A</t>
  </si>
  <si>
    <t>SAC GONFLABLE AR</t>
  </si>
  <si>
    <t>U2B</t>
  </si>
  <si>
    <t>ASS U2B</t>
  </si>
  <si>
    <t>ELEMENTS COMMUNS 3U2</t>
  </si>
  <si>
    <t>U2Z</t>
  </si>
  <si>
    <t>ASS U2Z</t>
  </si>
  <si>
    <t>RETENUE SIEGE ENFANT</t>
  </si>
  <si>
    <t>U2C</t>
  </si>
  <si>
    <t>ASS U2C</t>
  </si>
  <si>
    <t>CEINTURE SECURITE SUPPLEMENTAIRE – INTM</t>
  </si>
  <si>
    <t>U3A</t>
  </si>
  <si>
    <t>ASS U3A</t>
  </si>
  <si>
    <t>ELEMENTS COMMUNS 3U3</t>
  </si>
  <si>
    <t>U3Z</t>
  </si>
  <si>
    <t>ASS U3Z</t>
  </si>
  <si>
    <t>SAC GONFLABLE SUPPLEMENTAIRE – INTM</t>
  </si>
  <si>
    <t>U3B</t>
  </si>
  <si>
    <t>ASS U3B</t>
  </si>
  <si>
    <t>UZA</t>
  </si>
  <si>
    <t>ASS UZA</t>
  </si>
  <si>
    <t>ASSISE AV – ARMATURE – ARTICULATION – COMMANDE</t>
  </si>
  <si>
    <t>Y1A</t>
  </si>
  <si>
    <t>ASS Y1A</t>
  </si>
  <si>
    <t>ASSISE AV – GLISSIERE – COMMANDE</t>
  </si>
  <si>
    <t>Y1B</t>
  </si>
  <si>
    <t>ASS Y1B</t>
  </si>
  <si>
    <t>ASSISE AV – REHAUSSE – ROTATION</t>
  </si>
  <si>
    <t>Y1C</t>
  </si>
  <si>
    <t>ASS Y1C</t>
  </si>
  <si>
    <t>ASSISE AV – MATELASSURE</t>
  </si>
  <si>
    <t>Y1D</t>
  </si>
  <si>
    <t>ASS Y1D</t>
  </si>
  <si>
    <t>ASSISE AV – COIFFE</t>
  </si>
  <si>
    <t>Y1E</t>
  </si>
  <si>
    <t>ASS Y1E</t>
  </si>
  <si>
    <t>ASSISE AV – ACCOUDOIR</t>
  </si>
  <si>
    <t>Y1F</t>
  </si>
  <si>
    <t>ASS Y1F</t>
  </si>
  <si>
    <t>ASSISE AV – APPUI-TETE</t>
  </si>
  <si>
    <t>Y1G</t>
  </si>
  <si>
    <t>ASS Y1G</t>
  </si>
  <si>
    <t>ASSISE AV – CENDRIER</t>
  </si>
  <si>
    <t>Y1H</t>
  </si>
  <si>
    <t>ASS Y1H</t>
  </si>
  <si>
    <t>ASSISE AV – COMMANDE MULTIPLE</t>
  </si>
  <si>
    <t>Y1K</t>
  </si>
  <si>
    <t>ASS Y1K</t>
  </si>
  <si>
    <t>ELEMENTS COMMUNS 3Y1</t>
  </si>
  <si>
    <t>Y1Z</t>
  </si>
  <si>
    <t>ASS Y1Z</t>
  </si>
  <si>
    <t>ASS Y1L</t>
  </si>
  <si>
    <t>ASSISE AR – ARMATURE – ARTICULATION – COMMANDE</t>
  </si>
  <si>
    <t>Y2A</t>
  </si>
  <si>
    <t>ASS Y2A</t>
  </si>
  <si>
    <t>ASSISE AR – MECANISME VERROUILLAGE – GLISSIERE</t>
  </si>
  <si>
    <t>Y2B</t>
  </si>
  <si>
    <t>ASS Y2B</t>
  </si>
  <si>
    <t>ASSISE AR – MATELASSURE</t>
  </si>
  <si>
    <t>Y2C</t>
  </si>
  <si>
    <t>ASS Y2C</t>
  </si>
  <si>
    <t>ASSISE AR – COIFFE</t>
  </si>
  <si>
    <t>Y2D</t>
  </si>
  <si>
    <t>ASS Y2D</t>
  </si>
  <si>
    <t>ASSISE AR – ACCOUDOIR</t>
  </si>
  <si>
    <t>Y2E</t>
  </si>
  <si>
    <t>ASS Y2E</t>
  </si>
  <si>
    <t>ASSISE AR – APPUI-TETE</t>
  </si>
  <si>
    <t>Y2F</t>
  </si>
  <si>
    <t>ASS Y2F</t>
  </si>
  <si>
    <t>ASSISE AR – CENDRIER – RANGEMENT</t>
  </si>
  <si>
    <t>Y2G</t>
  </si>
  <si>
    <t>ASS Y2G</t>
  </si>
  <si>
    <t>ASSISE AR – DORMANT</t>
  </si>
  <si>
    <t>Y2H</t>
  </si>
  <si>
    <t>ASS Y2H</t>
  </si>
  <si>
    <t>ASS Y2K</t>
  </si>
  <si>
    <t>ELEMENTS COMMUNS 3Y2</t>
  </si>
  <si>
    <t>Y2Z</t>
  </si>
  <si>
    <t>ASS Y2Z</t>
  </si>
  <si>
    <t>ASSISE AR – REHAUSSE</t>
  </si>
  <si>
    <t>Y2L</t>
  </si>
  <si>
    <t>ASS Y2L</t>
  </si>
  <si>
    <t>ASSISE SUPPLEMENTAIRE – ARMATURE – ARTICULATION – COMMANDE</t>
  </si>
  <si>
    <t>Y3A</t>
  </si>
  <si>
    <t>ASS Y3A</t>
  </si>
  <si>
    <t>ASSISE SUPPLEMENTAIRE – MECANISME VERROUILLAGE – GLISSIERE</t>
  </si>
  <si>
    <t>Y3B</t>
  </si>
  <si>
    <t>ASS Y3B</t>
  </si>
  <si>
    <t>ASSISE SUPPLEMENTAIRE – MATELASSURE</t>
  </si>
  <si>
    <t>Y3C</t>
  </si>
  <si>
    <t>ASS Y3C</t>
  </si>
  <si>
    <t>ASSISE SUPPLEMENTAIRE – COIFFE</t>
  </si>
  <si>
    <t>Y3D</t>
  </si>
  <si>
    <t>ASS Y3D</t>
  </si>
  <si>
    <t>ASSISE SUPPLEMENTAIRE – ACCOUDOIR</t>
  </si>
  <si>
    <t>Y3E</t>
  </si>
  <si>
    <t>ASS Y3E</t>
  </si>
  <si>
    <t>ASSISE SUPPLEMENTAIRE – APPUI-TETE</t>
  </si>
  <si>
    <t>Y3F</t>
  </si>
  <si>
    <t>ASS Y3F</t>
  </si>
  <si>
    <t>ASSISE SUPPLEMENTAIRE – CENDRIER</t>
  </si>
  <si>
    <t>Y3G</t>
  </si>
  <si>
    <t>ASS Y3G</t>
  </si>
  <si>
    <t>ELEMENTS COMMUNS 3Y3</t>
  </si>
  <si>
    <t>Y3Z</t>
  </si>
  <si>
    <t>ASS Y3Z</t>
  </si>
  <si>
    <t>ASSISE SUPPLEMENTAIRE – REHAUSSE</t>
  </si>
  <si>
    <t>Y3H</t>
  </si>
  <si>
    <t>ASS Y3H</t>
  </si>
  <si>
    <t>COMPOSITION ASSISE LIVREE</t>
  </si>
  <si>
    <t>Y4A</t>
  </si>
  <si>
    <t>ASS Y4A</t>
  </si>
  <si>
    <t>YZA</t>
  </si>
  <si>
    <t>ASS YZA</t>
  </si>
  <si>
    <t>ATR</t>
  </si>
  <si>
    <t>ATR 0_Total</t>
  </si>
  <si>
    <t>ATR 83G</t>
  </si>
  <si>
    <t>ATR 73R</t>
  </si>
  <si>
    <t>ATR A24</t>
  </si>
  <si>
    <t>RADIATEUR HUILE (SI ISOLE)</t>
  </si>
  <si>
    <t>C81</t>
  </si>
  <si>
    <t>ATR C81</t>
  </si>
  <si>
    <t>ELEMENTS COMMUNS 1C8</t>
  </si>
  <si>
    <t>C8Z</t>
  </si>
  <si>
    <t>ATR C8Z</t>
  </si>
  <si>
    <t>CANALISATION – CIRCUIT</t>
  </si>
  <si>
    <t>C82</t>
  </si>
  <si>
    <t>ATR C82</t>
  </si>
  <si>
    <t>ATR D11</t>
  </si>
  <si>
    <t>ATR D12</t>
  </si>
  <si>
    <t>ELEMENTS COMMUNS 1D1</t>
  </si>
  <si>
    <t>D1Z</t>
  </si>
  <si>
    <t>ATR D1Z</t>
  </si>
  <si>
    <t>PILOTAGE ELECTRONIQUE SUSPENSION GMP</t>
  </si>
  <si>
    <t>D13</t>
  </si>
  <si>
    <t>ATR D13</t>
  </si>
  <si>
    <t>SUPPORT – ELEMENT ELASTIQUE PONT</t>
  </si>
  <si>
    <t>D21</t>
  </si>
  <si>
    <t>ATR D21</t>
  </si>
  <si>
    <t>SUPPORT - ELEMENT ELASTIQUE GROUPE ELECTROMOTEUR</t>
  </si>
  <si>
    <t>D31</t>
  </si>
  <si>
    <t>ATR D31</t>
  </si>
  <si>
    <t>MARQUAGE SUSPENSION GMP – PONT</t>
  </si>
  <si>
    <t>D91</t>
  </si>
  <si>
    <t>ATR D91</t>
  </si>
  <si>
    <t>MONTAGE SUSPENSION GMP – PONT</t>
  </si>
  <si>
    <t>DZA</t>
  </si>
  <si>
    <t>ATR DZA</t>
  </si>
  <si>
    <t>SOURCE PRESSION SUSPENSION AR</t>
  </si>
  <si>
    <t>E27</t>
  </si>
  <si>
    <t>ATR E27</t>
  </si>
  <si>
    <t>EQUIPEMENT LAS</t>
  </si>
  <si>
    <t>EQUIPEMENT ELECTRIQUE ENSEMBLE DIRECTION</t>
  </si>
  <si>
    <t>E47</t>
  </si>
  <si>
    <t>ATR E47</t>
  </si>
  <si>
    <t>MULTIPLICATEUR EFFORT</t>
  </si>
  <si>
    <t>F62</t>
  </si>
  <si>
    <t>ATR F62</t>
  </si>
  <si>
    <t>RESERVOIR – FLUIDE – CONTACTEUR NIVEAU</t>
  </si>
  <si>
    <t>F65</t>
  </si>
  <si>
    <t>ATR F65</t>
  </si>
  <si>
    <t>ATR F66</t>
  </si>
  <si>
    <t>ELEMENTS COMMUNS 1G1</t>
  </si>
  <si>
    <t>G1Z</t>
  </si>
  <si>
    <t>ATR G1Z</t>
  </si>
  <si>
    <t>ATR G11</t>
  </si>
  <si>
    <t>LEVIER – SUPPORT</t>
  </si>
  <si>
    <t>G21</t>
  </si>
  <si>
    <t>ATR G21</t>
  </si>
  <si>
    <t>TRINGLERIE (NON INTEGREE A BOITE DE VITESSES)</t>
  </si>
  <si>
    <t>G22</t>
  </si>
  <si>
    <t>ATR G22</t>
  </si>
  <si>
    <t>ELEMENTS COMMUNS 1G2</t>
  </si>
  <si>
    <t>G2Z</t>
  </si>
  <si>
    <t>ATR G2Z</t>
  </si>
  <si>
    <t>ETANCHEITE – PROTECTION (AU PLANCHER OU AU TABLIER)</t>
  </si>
  <si>
    <t>G23</t>
  </si>
  <si>
    <t>ATR G23</t>
  </si>
  <si>
    <t>COMMANDE MECANIQUE DEBRAYAGE</t>
  </si>
  <si>
    <t>G31</t>
  </si>
  <si>
    <t>ATR G31</t>
  </si>
  <si>
    <t>ELEMENTS COMMUNS 1G3</t>
  </si>
  <si>
    <t>G3Z</t>
  </si>
  <si>
    <t>ATR G3Z</t>
  </si>
  <si>
    <t>COMMANDE HYDRAULIQUE DEBRAYAGE</t>
  </si>
  <si>
    <t>G32</t>
  </si>
  <si>
    <t>ATR G32</t>
  </si>
  <si>
    <t>G81</t>
  </si>
  <si>
    <t>ATR G81</t>
  </si>
  <si>
    <t>TRINGLERIE (NON INTEGREE A ORGANE)</t>
  </si>
  <si>
    <t>G82</t>
  </si>
  <si>
    <t>ATR G82</t>
  </si>
  <si>
    <t>ELEMENTS COMMUNS 1G8</t>
  </si>
  <si>
    <t>G8Z</t>
  </si>
  <si>
    <t>ATR G8Z</t>
  </si>
  <si>
    <t>ETANCHEITE – protection (AU PLANCHER OU AU TABLIER)</t>
  </si>
  <si>
    <t>G83</t>
  </si>
  <si>
    <t>ATR G83</t>
  </si>
  <si>
    <t>MARQUAGE ENSEMBLES COMMANDES</t>
  </si>
  <si>
    <t>G91</t>
  </si>
  <si>
    <t>ATR G91</t>
  </si>
  <si>
    <t>ATR NR-</t>
  </si>
  <si>
    <t>BVM 0_Total</t>
  </si>
  <si>
    <t>BVM 73R</t>
  </si>
  <si>
    <t>BVM A12</t>
  </si>
  <si>
    <t>EMBRAYAGE MECANIQUE</t>
  </si>
  <si>
    <t>C11</t>
  </si>
  <si>
    <t>BVM C11</t>
  </si>
  <si>
    <t>EMBRAYAGE ELECTRIQUE</t>
  </si>
  <si>
    <t>C14</t>
  </si>
  <si>
    <t>BVM C14</t>
  </si>
  <si>
    <t>ELEMENTS COMMUNS 1C1</t>
  </si>
  <si>
    <t>C1Z</t>
  </si>
  <si>
    <t>BVM C1Z</t>
  </si>
  <si>
    <t>EMBRAYAGE AUTOMATIQUE</t>
  </si>
  <si>
    <t>C15</t>
  </si>
  <si>
    <t>BVM C15</t>
  </si>
  <si>
    <t>CARTER EMBRAYAGE</t>
  </si>
  <si>
    <t>C21</t>
  </si>
  <si>
    <t>BVM C21</t>
  </si>
  <si>
    <t>CARTER BOITE VITESSES</t>
  </si>
  <si>
    <t>C22</t>
  </si>
  <si>
    <t>BVM C22</t>
  </si>
  <si>
    <t>MECANISME BOITE VITESSES</t>
  </si>
  <si>
    <t>C23</t>
  </si>
  <si>
    <t>BVM C23</t>
  </si>
  <si>
    <t>ELEMENTS COMMUNS 1C2</t>
  </si>
  <si>
    <t>C2Z</t>
  </si>
  <si>
    <t>BVM C2Z</t>
  </si>
  <si>
    <t>CARTER TRANSMISSION (SI USINAGE ASS.)</t>
  </si>
  <si>
    <t>C25</t>
  </si>
  <si>
    <t>BVM C25</t>
  </si>
  <si>
    <t>CARTER PONT AV (SI ISOLE)</t>
  </si>
  <si>
    <t>C31</t>
  </si>
  <si>
    <t>BVM C31</t>
  </si>
  <si>
    <t>MECANISME PONT AV</t>
  </si>
  <si>
    <t>C32</t>
  </si>
  <si>
    <t>BVM C32</t>
  </si>
  <si>
    <t>CARTER PONT AR (SI SEPARE)</t>
  </si>
  <si>
    <t>C33</t>
  </si>
  <si>
    <t>BVM C33</t>
  </si>
  <si>
    <t>ELEMENTS COMMUNS 1C3</t>
  </si>
  <si>
    <t>C3Z</t>
  </si>
  <si>
    <t>BVM C3Z</t>
  </si>
  <si>
    <t>MECANISME PONT AR</t>
  </si>
  <si>
    <t>C34</t>
  </si>
  <si>
    <t>BVM C34</t>
  </si>
  <si>
    <t>CARTER BOITE TRANSFERT</t>
  </si>
  <si>
    <t>C41</t>
  </si>
  <si>
    <t>BVM C41</t>
  </si>
  <si>
    <t>ELEMENTS COMMUNS 1C4</t>
  </si>
  <si>
    <t>C4Z</t>
  </si>
  <si>
    <t>BVM C4Z</t>
  </si>
  <si>
    <t>MECANISME BOITE TRANSFERT</t>
  </si>
  <si>
    <t>C42</t>
  </si>
  <si>
    <t>BVM C42</t>
  </si>
  <si>
    <t>ELEMENTS COMMUNS 1C5</t>
  </si>
  <si>
    <t>C5Z</t>
  </si>
  <si>
    <t>BVM C5Z</t>
  </si>
  <si>
    <t>REDUCTEUR MOTEUR PROPULSION ELECTRIQUE</t>
  </si>
  <si>
    <t>C51</t>
  </si>
  <si>
    <t>BVM C51</t>
  </si>
  <si>
    <t>MONTAGE BOITE VITESSES MECANIQUE</t>
  </si>
  <si>
    <t>CZB</t>
  </si>
  <si>
    <t>BVM CZB</t>
  </si>
  <si>
    <t>EQUIPEMENT ELECTRIQUE COMMANDE DEBRAYAGE</t>
  </si>
  <si>
    <t>G33</t>
  </si>
  <si>
    <t>BVM G33</t>
  </si>
  <si>
    <t>BVM NR-</t>
  </si>
  <si>
    <t>CBA</t>
  </si>
  <si>
    <t>CBA 0_Total</t>
  </si>
  <si>
    <t>CBA 73R</t>
  </si>
  <si>
    <t>CBA C26</t>
  </si>
  <si>
    <t>CBA NR-</t>
  </si>
  <si>
    <t>CMO</t>
  </si>
  <si>
    <t>CMO 0_Total</t>
  </si>
  <si>
    <t>CMO 73R</t>
  </si>
  <si>
    <t>REPARTITEUR ADMISSION</t>
  </si>
  <si>
    <t>A21</t>
  </si>
  <si>
    <t>CMO A21</t>
  </si>
  <si>
    <t>CARBURATION</t>
  </si>
  <si>
    <t>A22</t>
  </si>
  <si>
    <t>CMO A22</t>
  </si>
  <si>
    <t>INJECTION (ESSENCE)</t>
  </si>
  <si>
    <t>A23</t>
  </si>
  <si>
    <t>CMO A23</t>
  </si>
  <si>
    <t>CMO A24</t>
  </si>
  <si>
    <t>CMO A25</t>
  </si>
  <si>
    <t>ELEMENTS COMMUNS 1A2</t>
  </si>
  <si>
    <t>A2Z</t>
  </si>
  <si>
    <t>CMO A2Z</t>
  </si>
  <si>
    <t>SURALIMENTATION AIR</t>
  </si>
  <si>
    <t>A27</t>
  </si>
  <si>
    <t>CMO A27</t>
  </si>
  <si>
    <t>CMO A33</t>
  </si>
  <si>
    <t>CMO A34</t>
  </si>
  <si>
    <t>CMO A37</t>
  </si>
  <si>
    <t>ACTIONNEUR – PILOTAGE ELECTRONIQUE</t>
  </si>
  <si>
    <t>A38</t>
  </si>
  <si>
    <t>CMO A38</t>
  </si>
  <si>
    <t>CMO A41</t>
  </si>
  <si>
    <t>ELEMENTS COMMUNS 1A4</t>
  </si>
  <si>
    <t>A4Z</t>
  </si>
  <si>
    <t>CMO A4Z</t>
  </si>
  <si>
    <t>CMO A42</t>
  </si>
  <si>
    <t>CMO A82</t>
  </si>
  <si>
    <t>CMO G41</t>
  </si>
  <si>
    <t>REGULATION VITESSE – ELEMENT LIE AU MOTEUR</t>
  </si>
  <si>
    <t>G42</t>
  </si>
  <si>
    <t>CMO G42</t>
  </si>
  <si>
    <t>CMO NR-</t>
  </si>
  <si>
    <t>ETIQUETTES – PLAQUES – INSCRIPTIONS</t>
  </si>
  <si>
    <t>T3J</t>
  </si>
  <si>
    <t>CMO T3J</t>
  </si>
  <si>
    <t>DIR</t>
  </si>
  <si>
    <t>DIR 0_Total</t>
  </si>
  <si>
    <t>DIR 73R</t>
  </si>
  <si>
    <t>MECANISME (ASSISTE OU NON)</t>
  </si>
  <si>
    <t>E41</t>
  </si>
  <si>
    <t>DIR E41</t>
  </si>
  <si>
    <t>DIR E42</t>
  </si>
  <si>
    <t>AMORTISSEUR DIRECTION</t>
  </si>
  <si>
    <t>E43</t>
  </si>
  <si>
    <t>DIR E43</t>
  </si>
  <si>
    <t>BIELLE CONNEXION</t>
  </si>
  <si>
    <t>E44</t>
  </si>
  <si>
    <t>DIR E44</t>
  </si>
  <si>
    <t>COLONNE DIRECTION</t>
  </si>
  <si>
    <t>E45</t>
  </si>
  <si>
    <t>DIR E45</t>
  </si>
  <si>
    <t>COLONNE</t>
  </si>
  <si>
    <t>DIR E47</t>
  </si>
  <si>
    <t>MARQUAGE LIAISON AU SOL</t>
  </si>
  <si>
    <t>E91</t>
  </si>
  <si>
    <t>DIR E91</t>
  </si>
  <si>
    <t>DIR NR-</t>
  </si>
  <si>
    <t>EBA</t>
  </si>
  <si>
    <t>EBA 0_Total</t>
  </si>
  <si>
    <t>EBA 73R</t>
  </si>
  <si>
    <t>EBA A36</t>
  </si>
  <si>
    <t>EQUIPEMENT ELECTRIQUE EMBRAYAGE</t>
  </si>
  <si>
    <t>C16</t>
  </si>
  <si>
    <t>EBA C16</t>
  </si>
  <si>
    <t>EBA C26</t>
  </si>
  <si>
    <t>EBA C29</t>
  </si>
  <si>
    <t>COMMANDE ELECTRIQUE BOITE VITESSES AUTOMATIQUE</t>
  </si>
  <si>
    <t>C2A</t>
  </si>
  <si>
    <t>EBA C2A</t>
  </si>
  <si>
    <t>EQUIPEMENT ELECTRIQUE PONT AV – AR</t>
  </si>
  <si>
    <t>C35</t>
  </si>
  <si>
    <t>EBA C35</t>
  </si>
  <si>
    <t>EQUIPEMENT ELECTRIQUE BOITE TRANSFERT</t>
  </si>
  <si>
    <t>C43</t>
  </si>
  <si>
    <t>EBA C43</t>
  </si>
  <si>
    <t>C83</t>
  </si>
  <si>
    <t>EBA C83</t>
  </si>
  <si>
    <t>EBA G21</t>
  </si>
  <si>
    <t>EQUIPEMENT ELECTRIQUE COMMANDE VITESSE</t>
  </si>
  <si>
    <t>G24</t>
  </si>
  <si>
    <t>EBA G24</t>
  </si>
  <si>
    <t>EQUIPEMENT ELECTRIQUE CDE TRANSFERT – PONT AR</t>
  </si>
  <si>
    <t>G84</t>
  </si>
  <si>
    <t>EBA G84</t>
  </si>
  <si>
    <t>EBA NR-</t>
  </si>
  <si>
    <t>EEH</t>
  </si>
  <si>
    <t>EEH 0_Total</t>
  </si>
  <si>
    <t>EEH 83G</t>
  </si>
  <si>
    <t>EEH 73R</t>
  </si>
  <si>
    <t>EEH A38</t>
  </si>
  <si>
    <t>EEH B33</t>
  </si>
  <si>
    <t>EEH B43</t>
  </si>
  <si>
    <t>EEH C2A</t>
  </si>
  <si>
    <t>EQUIPEMENT ELECTRIQUE FREIN PRINCIPAL</t>
  </si>
  <si>
    <t>F68</t>
  </si>
  <si>
    <t>EEH F68</t>
  </si>
  <si>
    <t>EQUIPEMENT FRN</t>
  </si>
  <si>
    <t>INTERRUPTEUR COMMANDE FREIN PRINCIPAL</t>
  </si>
  <si>
    <t>F69</t>
  </si>
  <si>
    <t>EEH F69</t>
  </si>
  <si>
    <t>EQUIPEMENT ELECTRIQUE CDS FEH</t>
  </si>
  <si>
    <t>F6B</t>
  </si>
  <si>
    <t>EEH F6B</t>
  </si>
  <si>
    <t>COMMANDE CONTROLE DYNAMIQUE STABILITE</t>
  </si>
  <si>
    <t>F6C</t>
  </si>
  <si>
    <t>EEH F6C</t>
  </si>
  <si>
    <t>EEH G24</t>
  </si>
  <si>
    <t>EQUIPEMENT ELECTRIQUE COMMANDE MISE EN ACTION – ACCELERATION</t>
  </si>
  <si>
    <t>G43</t>
  </si>
  <si>
    <t>EEH G43</t>
  </si>
  <si>
    <t>EEH G44</t>
  </si>
  <si>
    <t>EQUIPEMENT ELECTRIQUE SOURCE PRESSION ASSISTANCE</t>
  </si>
  <si>
    <t>G68</t>
  </si>
  <si>
    <t>EEH G68</t>
  </si>
  <si>
    <t>COMMANDE REGULATION VERROUILLAGE SUSPENSION</t>
  </si>
  <si>
    <t>G77</t>
  </si>
  <si>
    <t>EEH G77</t>
  </si>
  <si>
    <t>INTERRUPTEUR CDE TRANSFERT – PONT AR</t>
  </si>
  <si>
    <t>G85</t>
  </si>
  <si>
    <t>EEH G85</t>
  </si>
  <si>
    <t>EQUIPEMENT ELECTRIQUE MECANISME PORTE</t>
  </si>
  <si>
    <t>N1F</t>
  </si>
  <si>
    <t>EEH N1F</t>
  </si>
  <si>
    <t>PORTES/2</t>
  </si>
  <si>
    <t>EQUIPEMENT ELEC MECANISME ACCES AV – AR</t>
  </si>
  <si>
    <t>N2E</t>
  </si>
  <si>
    <t>EEH N2E</t>
  </si>
  <si>
    <t>HAYON / COFFRE / PORTE COFFRE</t>
  </si>
  <si>
    <t>EQUIPEMENT ELEC MECANISME TOIT – CAPOTE – TABLETTE AR – COFFRE</t>
  </si>
  <si>
    <t>N3D</t>
  </si>
  <si>
    <t>EEH N3D</t>
  </si>
  <si>
    <t>ANTIVOL DIRECTION</t>
  </si>
  <si>
    <t>N4A</t>
  </si>
  <si>
    <t>EEH N4A</t>
  </si>
  <si>
    <t>EQUIPEMENT ELECTRIQUE MECANISME VITRE</t>
  </si>
  <si>
    <t>N5E</t>
  </si>
  <si>
    <t>EEH N5E</t>
  </si>
  <si>
    <t>EEH NR-</t>
  </si>
  <si>
    <t>EQUIPEMENT ELECTRIQUE RETROVISEURS EXT</t>
  </si>
  <si>
    <t>R5P</t>
  </si>
  <si>
    <t>EEH R5P</t>
  </si>
  <si>
    <t>EQUIPEMENT EXT</t>
  </si>
  <si>
    <t>EQUIPEMENT ELECTRIQUE CONSOLE</t>
  </si>
  <si>
    <t>S3D</t>
  </si>
  <si>
    <t>EEH S3D</t>
  </si>
  <si>
    <t>EQUIPEMENT ELECTRIQUE RETROVISEUR INT</t>
  </si>
  <si>
    <t>T2F</t>
  </si>
  <si>
    <t>EEH T2F</t>
  </si>
  <si>
    <t>EQUIPEMENT ELECTRIQUE PARE-SOLEIL – STORE</t>
  </si>
  <si>
    <t>T2G</t>
  </si>
  <si>
    <t>EEH T2G</t>
  </si>
  <si>
    <t xml:space="preserve">EQUIPEMENT ELECTRIQUE ACCESSOIRES INT </t>
  </si>
  <si>
    <t>T3M</t>
  </si>
  <si>
    <t>EEH T3M</t>
  </si>
  <si>
    <t>EQUIPEMENT ELECTRIQUE RETENUE PROTECTION</t>
  </si>
  <si>
    <t>U4A</t>
  </si>
  <si>
    <t>EEH U4A</t>
  </si>
  <si>
    <t>EQUIPEMENT ELECTRIQUE GROUPE CLIMATISATION</t>
  </si>
  <si>
    <t>V2K</t>
  </si>
  <si>
    <t>EEH V2K</t>
  </si>
  <si>
    <t>GROUP CLIM</t>
  </si>
  <si>
    <t>EQUIPEMENT ELECTRIQUE GROUPE COMPLEMENTAIRE CLIMATISATION</t>
  </si>
  <si>
    <t>V6C</t>
  </si>
  <si>
    <t>EEH V6C</t>
  </si>
  <si>
    <t>GROUPE ADDITIONNEL</t>
  </si>
  <si>
    <t>EEH Y1L</t>
  </si>
  <si>
    <t>EEH Y2K</t>
  </si>
  <si>
    <t>Z1A</t>
  </si>
  <si>
    <t>EEH Z1A</t>
  </si>
  <si>
    <t>BATTERIE TRACTION</t>
  </si>
  <si>
    <t>Système batterie</t>
  </si>
  <si>
    <t>CORRECTEUR MANUEL – AUTOMATIQUE</t>
  </si>
  <si>
    <t>Z2B</t>
  </si>
  <si>
    <t>EEH Z2B</t>
  </si>
  <si>
    <t>COMMANDE ECLAIRAGE SIGNALISATION EXTERIEURE</t>
  </si>
  <si>
    <t>Z2U</t>
  </si>
  <si>
    <t>EEH Z2U</t>
  </si>
  <si>
    <t>COMMANDE ECLAIRAGE SIGNALISATION INTERIEURE</t>
  </si>
  <si>
    <t>Z2V</t>
  </si>
  <si>
    <t>EEH Z2V</t>
  </si>
  <si>
    <t>COMMANDE AVERTISSEUR SONORE</t>
  </si>
  <si>
    <t>Z3B</t>
  </si>
  <si>
    <t>EEH Z3B</t>
  </si>
  <si>
    <t>Système volant</t>
  </si>
  <si>
    <t>COMBINE</t>
  </si>
  <si>
    <t>Z4A</t>
  </si>
  <si>
    <t>EEH Z4A</t>
  </si>
  <si>
    <t>MONTRE (si séparée)</t>
  </si>
  <si>
    <t>Z4B</t>
  </si>
  <si>
    <t>EEH Z4B</t>
  </si>
  <si>
    <t>COMPTE-TOURS (si séparé)</t>
  </si>
  <si>
    <t>Z4C</t>
  </si>
  <si>
    <t>EEH Z4C</t>
  </si>
  <si>
    <t>TRANSMISSION FLEXIBLE COMPTEUR</t>
  </si>
  <si>
    <t>Z4D</t>
  </si>
  <si>
    <t>EEH Z4D</t>
  </si>
  <si>
    <t>ECONOSCOPE (si séparé)</t>
  </si>
  <si>
    <t>Z4E</t>
  </si>
  <si>
    <t>EEH Z4E</t>
  </si>
  <si>
    <t>SYSTEME CONTROLE – ACCESSOIRES</t>
  </si>
  <si>
    <t>Z4F</t>
  </si>
  <si>
    <t>EEH Z4F</t>
  </si>
  <si>
    <t>TEMOINS ISOLES</t>
  </si>
  <si>
    <t>Z4H</t>
  </si>
  <si>
    <t>EEH Z4H</t>
  </si>
  <si>
    <t>RECEPTEURS ISOLES</t>
  </si>
  <si>
    <t>Z4J</t>
  </si>
  <si>
    <t>EEH Z4J</t>
  </si>
  <si>
    <t>ELEMENTS COMMUNS 3Z4</t>
  </si>
  <si>
    <t>Z4Z</t>
  </si>
  <si>
    <t>EEH Z4Z</t>
  </si>
  <si>
    <t>COMMANDE NIVEAU ECLAIRAGE</t>
  </si>
  <si>
    <t>Z4K</t>
  </si>
  <si>
    <t>EEH Z4K</t>
  </si>
  <si>
    <t>PILOTAGE MULTIFONCTIONNEL (CARROSSERIE)</t>
  </si>
  <si>
    <t>Z5T</t>
  </si>
  <si>
    <t>EEH Z5T</t>
  </si>
  <si>
    <t>ELEMENTS COMMUNS 3Z5</t>
  </si>
  <si>
    <t>Z5Z</t>
  </si>
  <si>
    <t>EEH Z5Z</t>
  </si>
  <si>
    <t>EEH Z5U</t>
  </si>
  <si>
    <t>COMMANDE NETTOYAGE VITRE – PROJECTEUR</t>
  </si>
  <si>
    <t>Z6H</t>
  </si>
  <si>
    <t>EEH Z6H</t>
  </si>
  <si>
    <t>COMMANDE DEGIVRAGE ELECTRIQUE VITRES</t>
  </si>
  <si>
    <t>Z6J</t>
  </si>
  <si>
    <t>EEH Z6J</t>
  </si>
  <si>
    <t>EMETTEUR RECEPTEUR RADIO</t>
  </si>
  <si>
    <t>Z7A</t>
  </si>
  <si>
    <t>EEH Z7A</t>
  </si>
  <si>
    <t>ANTENNE CABLE RADIO MULTIFONCTIONNELLE</t>
  </si>
  <si>
    <t>Z7B</t>
  </si>
  <si>
    <t>EEH Z7B</t>
  </si>
  <si>
    <t>ANTIPARASITAGE</t>
  </si>
  <si>
    <t>Z7C</t>
  </si>
  <si>
    <t>EEH Z7C</t>
  </si>
  <si>
    <t>HAUT-PARLEUR RADIO MULTIFONCTIONNEL</t>
  </si>
  <si>
    <t>Z7D</t>
  </si>
  <si>
    <t>EEH Z7D</t>
  </si>
  <si>
    <t>COMMANDE</t>
  </si>
  <si>
    <t>Z7E</t>
  </si>
  <si>
    <t>EEH Z7E</t>
  </si>
  <si>
    <t>RADIOTELEPHONE – SYSTEME TELEMATIQUE</t>
  </si>
  <si>
    <t>Z7G</t>
  </si>
  <si>
    <t>EEH Z7G</t>
  </si>
  <si>
    <t>Système téléphone</t>
  </si>
  <si>
    <t>SYSTEME NAVIGATION</t>
  </si>
  <si>
    <t>Z7H</t>
  </si>
  <si>
    <t>EEH Z7H</t>
  </si>
  <si>
    <t>Système GPS</t>
  </si>
  <si>
    <t>ORDINATEUR MULTIMEDIA</t>
  </si>
  <si>
    <t>Z7J</t>
  </si>
  <si>
    <t>EEH Z7J</t>
  </si>
  <si>
    <t>Système multimédia</t>
  </si>
  <si>
    <t>ELEMENTS COMMUNS 3Z7</t>
  </si>
  <si>
    <t>Z7Z</t>
  </si>
  <si>
    <t>EEH Z7Z</t>
  </si>
  <si>
    <t>MULTIMEDIA AR</t>
  </si>
  <si>
    <t>Z7K</t>
  </si>
  <si>
    <t>EEH Z7K</t>
  </si>
  <si>
    <t>ALLUME-CIGARES</t>
  </si>
  <si>
    <t>Z8A</t>
  </si>
  <si>
    <t>EEH Z8A</t>
  </si>
  <si>
    <t>ALARME ANTIVOL</t>
  </si>
  <si>
    <t>Z8C</t>
  </si>
  <si>
    <t>EEH Z8C</t>
  </si>
  <si>
    <t>Alarme antivol</t>
  </si>
  <si>
    <t>PRISE</t>
  </si>
  <si>
    <t>Z8D</t>
  </si>
  <si>
    <t>EEH Z8D</t>
  </si>
  <si>
    <t>Prises</t>
  </si>
  <si>
    <t>DESEMBUAGE LUNETTE AR</t>
  </si>
  <si>
    <t>Z8E</t>
  </si>
  <si>
    <t>EEH Z8E</t>
  </si>
  <si>
    <t>Boitier de degivrage arrière</t>
  </si>
  <si>
    <t>ANTIDEMARRAGE CODE</t>
  </si>
  <si>
    <t>Z8F</t>
  </si>
  <si>
    <t>EEH Z8F</t>
  </si>
  <si>
    <t>ELEMENTS COMMUNS 3Z8</t>
  </si>
  <si>
    <t>Z8Z</t>
  </si>
  <si>
    <t>EEH Z8Z</t>
  </si>
  <si>
    <t>ACCES ET DEMARRAGE MAINS LIBRES</t>
  </si>
  <si>
    <t>Z8G</t>
  </si>
  <si>
    <t>EEH Z8G</t>
  </si>
  <si>
    <t>Système d'ouverture sans clef</t>
  </si>
  <si>
    <t>EEH Z9G</t>
  </si>
  <si>
    <t>Relais</t>
  </si>
  <si>
    <t>EEH Z9J</t>
  </si>
  <si>
    <t>EEH ZBC</t>
  </si>
  <si>
    <t>SPECIFICATIONS FAISCEAU ELECTRIQUE INTEGRE AUX EQUIPEMENTS</t>
  </si>
  <si>
    <t>ZBH</t>
  </si>
  <si>
    <t>EEH ZBH</t>
  </si>
  <si>
    <t>EEM</t>
  </si>
  <si>
    <t>EEM 0_Total</t>
  </si>
  <si>
    <t>DIAGNOSTIC CONSTRUCTEUR</t>
  </si>
  <si>
    <t>9AA</t>
  </si>
  <si>
    <t>EEM 9AA</t>
  </si>
  <si>
    <t>DIAGNOSTIC REGLEMENTAIRE</t>
  </si>
  <si>
    <t>9AB</t>
  </si>
  <si>
    <t>EEM 9AB</t>
  </si>
  <si>
    <t>SPECIFICATION TECHNIQUE TELECODAGE BOITIER ELECTRONIQUE</t>
  </si>
  <si>
    <t>9AC</t>
  </si>
  <si>
    <t>EEM 9AC</t>
  </si>
  <si>
    <t>SPECIFICATION TECHNIQUE TELECHARGEMENT BOITIER ELECTRONIQUE</t>
  </si>
  <si>
    <t>9AD</t>
  </si>
  <si>
    <t>EEM 9AD</t>
  </si>
  <si>
    <t>EEM 73R</t>
  </si>
  <si>
    <t>MOTEUR ELEC</t>
  </si>
  <si>
    <t>MOTEUR ELECTRIQUE TRACTION</t>
  </si>
  <si>
    <t>A17</t>
  </si>
  <si>
    <t>EEM A17</t>
  </si>
  <si>
    <t>MACHINE ELECTRIQUE TRACTION</t>
  </si>
  <si>
    <t>A19</t>
  </si>
  <si>
    <t>EEM A19</t>
  </si>
  <si>
    <t>EEM A31</t>
  </si>
  <si>
    <t>A32</t>
  </si>
  <si>
    <t>EEM A32</t>
  </si>
  <si>
    <t>EEM A33</t>
  </si>
  <si>
    <t>EEM A34</t>
  </si>
  <si>
    <t>EQUIPEMENT INFORMATION CONDUCTEUR – DIAGNOSTIC MOTEUR</t>
  </si>
  <si>
    <t>A35</t>
  </si>
  <si>
    <t>EEM A35</t>
  </si>
  <si>
    <t>EEM A36</t>
  </si>
  <si>
    <t>EEM A37</t>
  </si>
  <si>
    <t>EEM A38</t>
  </si>
  <si>
    <t>EEM A39</t>
  </si>
  <si>
    <t>ELEMENTS COMMUNS 1A3</t>
  </si>
  <si>
    <t>A3Z</t>
  </si>
  <si>
    <t>EEM A3Z</t>
  </si>
  <si>
    <t>ALTERNATEUR REVERSIBLE</t>
  </si>
  <si>
    <t>A3A</t>
  </si>
  <si>
    <t>EEM A3A</t>
  </si>
  <si>
    <t>DETECTION SURCHAUFFE</t>
  </si>
  <si>
    <t>B22</t>
  </si>
  <si>
    <t>EEM B22</t>
  </si>
  <si>
    <t>EEM B23</t>
  </si>
  <si>
    <t>EEM B24</t>
  </si>
  <si>
    <t>EEM G11</t>
  </si>
  <si>
    <t>EEM G33</t>
  </si>
  <si>
    <t>EEM G43</t>
  </si>
  <si>
    <t>EEM NR-</t>
  </si>
  <si>
    <t>EEM V2K</t>
  </si>
  <si>
    <t>EEM Z1A</t>
  </si>
  <si>
    <t>EEM Z1B</t>
  </si>
  <si>
    <t>NON DETAILLE</t>
  </si>
  <si>
    <t>EEM Z1C</t>
  </si>
  <si>
    <t>DISPOSITIF MAINTIEN TENSION</t>
  </si>
  <si>
    <t>Z1D</t>
  </si>
  <si>
    <t>EEM Z1D</t>
  </si>
  <si>
    <t>DISPOSITIF STOCKAGE ENERGIE ELECTRIQUE</t>
  </si>
  <si>
    <t>Z1E</t>
  </si>
  <si>
    <t>EEM Z1E</t>
  </si>
  <si>
    <t>EEM Z5U</t>
  </si>
  <si>
    <t>EEM Z8D</t>
  </si>
  <si>
    <t>EEM Z9A</t>
  </si>
  <si>
    <t>EEM ZAA</t>
  </si>
  <si>
    <t>EEM ZAJ</t>
  </si>
  <si>
    <t>EEM ZBA</t>
  </si>
  <si>
    <t>EEM ZBB</t>
  </si>
  <si>
    <t>EXP</t>
  </si>
  <si>
    <t>EXP 73R</t>
  </si>
  <si>
    <t>LOT EXPERIMENTATION</t>
  </si>
  <si>
    <t>97F</t>
  </si>
  <si>
    <t>EXP 97F</t>
  </si>
  <si>
    <t>STG EXPERIMENTATION</t>
  </si>
  <si>
    <t>98C</t>
  </si>
  <si>
    <t>EXP 98C</t>
  </si>
  <si>
    <t>STB EXPERIMENTATION</t>
  </si>
  <si>
    <t>99A</t>
  </si>
  <si>
    <t>EXP 99A</t>
  </si>
  <si>
    <t>EXP NR-</t>
  </si>
  <si>
    <t>EXP 0_Total</t>
  </si>
  <si>
    <t>EXT</t>
  </si>
  <si>
    <t>EXT 0_Total</t>
  </si>
  <si>
    <t>LAMPES</t>
  </si>
  <si>
    <t>73L</t>
  </si>
  <si>
    <t>EXT 73L</t>
  </si>
  <si>
    <t>EXT 83G</t>
  </si>
  <si>
    <t>EXT 73R</t>
  </si>
  <si>
    <t>PLANCHER AR</t>
  </si>
  <si>
    <t>K2C</t>
  </si>
  <si>
    <t>EXT K2C</t>
  </si>
  <si>
    <t>AILE AV</t>
  </si>
  <si>
    <t>K3C</t>
  </si>
  <si>
    <t>EXT K3C</t>
  </si>
  <si>
    <t>FACADE BLOC AV</t>
  </si>
  <si>
    <t>K3D</t>
  </si>
  <si>
    <t>EXT K3D</t>
  </si>
  <si>
    <t>CALANDRE</t>
  </si>
  <si>
    <t>K3E</t>
  </si>
  <si>
    <t>EXT K3E</t>
  </si>
  <si>
    <t>Calandre</t>
  </si>
  <si>
    <t>JUPE AV</t>
  </si>
  <si>
    <t>K3F</t>
  </si>
  <si>
    <t>EXT K3F</t>
  </si>
  <si>
    <t>FACADE BLOC AV (SI AMOVIBLE)</t>
  </si>
  <si>
    <t>K3H</t>
  </si>
  <si>
    <t>EXT K3H</t>
  </si>
  <si>
    <t>PANNEAU AR</t>
  </si>
  <si>
    <t>K5C</t>
  </si>
  <si>
    <t>EXT K5C</t>
  </si>
  <si>
    <t>JUPE AR (SI AMOVIBLE)</t>
  </si>
  <si>
    <t>K5E</t>
  </si>
  <si>
    <t>EXT K5E</t>
  </si>
  <si>
    <t>K7B</t>
  </si>
  <si>
    <t>EXT K7B</t>
  </si>
  <si>
    <t>TOLERIE CAPOT</t>
  </si>
  <si>
    <t>VOLET – HAYON – PORTILLON</t>
  </si>
  <si>
    <t>K7C</t>
  </si>
  <si>
    <t>EXT K7C</t>
  </si>
  <si>
    <t>PORTE CHARGEMENT AR</t>
  </si>
  <si>
    <t>K7J</t>
  </si>
  <si>
    <t>EXT K7J</t>
  </si>
  <si>
    <t>COFFRE</t>
  </si>
  <si>
    <t>K7K</t>
  </si>
  <si>
    <t>EXT K7K</t>
  </si>
  <si>
    <t>OUVERTURE FERMETURE CAPOT</t>
  </si>
  <si>
    <t>N2A</t>
  </si>
  <si>
    <t>EXT N2A</t>
  </si>
  <si>
    <t>EQUIPEMENT CAPOT</t>
  </si>
  <si>
    <t>OUVERTURE FERMETURE ELEMENTS ACCES AR</t>
  </si>
  <si>
    <t>N2B</t>
  </si>
  <si>
    <t>EXT N2B</t>
  </si>
  <si>
    <t>MECANISME – COMMANDE VITRE VOLET – PARE-BRISE – LUNETTE</t>
  </si>
  <si>
    <t>N5C</t>
  </si>
  <si>
    <t>EXT N5C</t>
  </si>
  <si>
    <t>EXT NR-</t>
  </si>
  <si>
    <t>VITRE VOLET – HAYON – CHARGEMENT AR</t>
  </si>
  <si>
    <t>P1B</t>
  </si>
  <si>
    <t>EXT P1B</t>
  </si>
  <si>
    <t>PARE-CHOCS AV</t>
  </si>
  <si>
    <t>R1A</t>
  </si>
  <si>
    <t>EXT R1A</t>
  </si>
  <si>
    <t>ELEMENTS COMMUNS 3R1</t>
  </si>
  <si>
    <t>R1Z</t>
  </si>
  <si>
    <t>EXT R1Z</t>
  </si>
  <si>
    <t>PARE-CHOCS AR</t>
  </si>
  <si>
    <t>R1B</t>
  </si>
  <si>
    <t>EXT R1B</t>
  </si>
  <si>
    <t>ENJOLIVEUR VOLET – HAYON – CHARGEMENT AR</t>
  </si>
  <si>
    <t>R2C</t>
  </si>
  <si>
    <t>EXT R2C</t>
  </si>
  <si>
    <t>ENJOLIVEUR – PROTECTION CEINTURE CAISSE</t>
  </si>
  <si>
    <t>R3D</t>
  </si>
  <si>
    <t>EXT R3D</t>
  </si>
  <si>
    <t>ENJO CAISSE</t>
  </si>
  <si>
    <t>ENJOLIVEUR IMMATRICULATION – ECLAIRAGE (VOLET AR)</t>
  </si>
  <si>
    <t>R3F</t>
  </si>
  <si>
    <t>EXT R3F</t>
  </si>
  <si>
    <t>ENJOLIVEUR ELEMENTS MOBILES ACCES</t>
  </si>
  <si>
    <t>R3G</t>
  </si>
  <si>
    <t>EXT R3G</t>
  </si>
  <si>
    <t>ENJOLIVEUR PROJECTEUR – BLOC SIGNALISATION</t>
  </si>
  <si>
    <t>R3K</t>
  </si>
  <si>
    <t>EXT R3K</t>
  </si>
  <si>
    <t>ENJOLIVEUR CALANDRE – GRILLE</t>
  </si>
  <si>
    <t>R3L</t>
  </si>
  <si>
    <t>EXT R3L</t>
  </si>
  <si>
    <t>ENJOLIVEUR ECRAN CALANDRE</t>
  </si>
  <si>
    <t>R3M</t>
  </si>
  <si>
    <t>EXT R3M</t>
  </si>
  <si>
    <t>ENJOLIVEUR PASSAGE ROUE</t>
  </si>
  <si>
    <t>R3N</t>
  </si>
  <si>
    <t>EXT R3N</t>
  </si>
  <si>
    <t>ENJOLIVEUR SORTIE ECHAPPEMENT</t>
  </si>
  <si>
    <t>R3P</t>
  </si>
  <si>
    <t>EXT R3P</t>
  </si>
  <si>
    <t>ENJOLIVEUR PANNEAU AR</t>
  </si>
  <si>
    <t>R3R</t>
  </si>
  <si>
    <t>EXT R3R</t>
  </si>
  <si>
    <t>ENJOLIVEUR CAPOT – COUVERCLE COFFRE</t>
  </si>
  <si>
    <t>R3S</t>
  </si>
  <si>
    <t>EXT R3S</t>
  </si>
  <si>
    <t>ELEMENTS COMMUNS 3R3</t>
  </si>
  <si>
    <t>R3Z</t>
  </si>
  <si>
    <t>EXT R3Z</t>
  </si>
  <si>
    <t>ENJOLIVEUR ENTREE VOLET AR</t>
  </si>
  <si>
    <t>R3U</t>
  </si>
  <si>
    <t>EXT R3U</t>
  </si>
  <si>
    <t>ELEMENTS COMMUNS 3R4</t>
  </si>
  <si>
    <t>R4Z</t>
  </si>
  <si>
    <t>EXT R4Z</t>
  </si>
  <si>
    <t>DECOR ADHESIF</t>
  </si>
  <si>
    <t>R4A</t>
  </si>
  <si>
    <t>EXT R4A</t>
  </si>
  <si>
    <t>SUPPORT PLAQUE IMMATRICULATION</t>
  </si>
  <si>
    <t>R5C</t>
  </si>
  <si>
    <t>EXT R5C</t>
  </si>
  <si>
    <t>MONOGRAMME – EMBLEME</t>
  </si>
  <si>
    <t>R5D</t>
  </si>
  <si>
    <t>EXT R5D</t>
  </si>
  <si>
    <t>ANNEAU ARRIMAGE</t>
  </si>
  <si>
    <t>R5F</t>
  </si>
  <si>
    <t>EXT R5F</t>
  </si>
  <si>
    <t>DIVERS LAS</t>
  </si>
  <si>
    <t>Module de réparation</t>
  </si>
  <si>
    <t>DEFLECTEUR AV</t>
  </si>
  <si>
    <t>R5L</t>
  </si>
  <si>
    <t>EXT R5L</t>
  </si>
  <si>
    <t>DEFLECTEUR AR – COMMANDE</t>
  </si>
  <si>
    <t>R5M</t>
  </si>
  <si>
    <t>EXT R5M</t>
  </si>
  <si>
    <t>ACCESSOIRE BENNE</t>
  </si>
  <si>
    <t>R5Q</t>
  </si>
  <si>
    <t>EXT R5Q</t>
  </si>
  <si>
    <t>ELEMENTS PROTECTION (INTERIEUR)</t>
  </si>
  <si>
    <t>T3L</t>
  </si>
  <si>
    <t>EXT T3L</t>
  </si>
  <si>
    <t>EVACUATION EAU AUVENT</t>
  </si>
  <si>
    <t>V1C</t>
  </si>
  <si>
    <t>EXT V1C</t>
  </si>
  <si>
    <t>GRILLES AUVENT</t>
  </si>
  <si>
    <t>ETANCHEITE ENTRE PROJECTEUR – CAISSE</t>
  </si>
  <si>
    <t>W4B</t>
  </si>
  <si>
    <t>EXT W4B</t>
  </si>
  <si>
    <t>ELEMENTS COMMUNS 3W4</t>
  </si>
  <si>
    <t>W4Z</t>
  </si>
  <si>
    <t>EXT W4Z</t>
  </si>
  <si>
    <t>ETANCHEITE SUR PARE-CHOCS AV</t>
  </si>
  <si>
    <t>W4C</t>
  </si>
  <si>
    <t>EXT W4C</t>
  </si>
  <si>
    <t>PROJECTEUR</t>
  </si>
  <si>
    <t>Z2A</t>
  </si>
  <si>
    <t>EXT Z2A</t>
  </si>
  <si>
    <t>EXT Z2B</t>
  </si>
  <si>
    <t>PROJECTEUR COMPLEMENTAIRE</t>
  </si>
  <si>
    <t>Z2C</t>
  </si>
  <si>
    <t>EXT Z2C</t>
  </si>
  <si>
    <t>FEU AV</t>
  </si>
  <si>
    <t>Z2D</t>
  </si>
  <si>
    <t>EXT Z2D</t>
  </si>
  <si>
    <t>FEU LAT</t>
  </si>
  <si>
    <t>Z2E</t>
  </si>
  <si>
    <t>EXT Z2E</t>
  </si>
  <si>
    <t>EQUIPEMENT ECLAIRAGE</t>
  </si>
  <si>
    <t>FEU AR</t>
  </si>
  <si>
    <t>Z2F</t>
  </si>
  <si>
    <t>EXT Z2F</t>
  </si>
  <si>
    <t>ECLAIREUR PLAQUE IMMATRICULATION (si séparé)</t>
  </si>
  <si>
    <t>Z2G</t>
  </si>
  <si>
    <t>EXT Z2G</t>
  </si>
  <si>
    <t>ECLAIRAGE PLAQUE POLICE</t>
  </si>
  <si>
    <t>FEU MARCHE AR (si séparé)</t>
  </si>
  <si>
    <t>Z2H</t>
  </si>
  <si>
    <t>EXT Z2H</t>
  </si>
  <si>
    <t>FEU AR BROUILLARD (si séparé)</t>
  </si>
  <si>
    <t>Z2J</t>
  </si>
  <si>
    <t>EXT Z2J</t>
  </si>
  <si>
    <t>AB AR</t>
  </si>
  <si>
    <t>FEU VEHICULES SPECIAUX</t>
  </si>
  <si>
    <t>Z2N</t>
  </si>
  <si>
    <t>EXT Z2N</t>
  </si>
  <si>
    <t>CATADIOPTRE</t>
  </si>
  <si>
    <t>Z2P</t>
  </si>
  <si>
    <t>EXT Z2P</t>
  </si>
  <si>
    <t>TRIANGLE PRESIGNALISATION</t>
  </si>
  <si>
    <t>Z2R</t>
  </si>
  <si>
    <t>EXT Z2R</t>
  </si>
  <si>
    <t>Triangle de signalisation</t>
  </si>
  <si>
    <t>SIGNALISATION OUVERTURE PORTE – ECLAIRAGE</t>
  </si>
  <si>
    <t>Z2S</t>
  </si>
  <si>
    <t>EXT Z2S</t>
  </si>
  <si>
    <t>ELEMENTS COMMUNS 3Z2</t>
  </si>
  <si>
    <t>Z2Z</t>
  </si>
  <si>
    <t>EXT Z2Z</t>
  </si>
  <si>
    <t>FEU STOP SUPPLEMENTAIRE</t>
  </si>
  <si>
    <t>Z2T</t>
  </si>
  <si>
    <t>EXT Z2T</t>
  </si>
  <si>
    <t>AVERTISSEUR SONORE</t>
  </si>
  <si>
    <t>Z3A</t>
  </si>
  <si>
    <t>EXT Z3A</t>
  </si>
  <si>
    <t>EXT Z5U</t>
  </si>
  <si>
    <t>ESSUIE-VITRE AV</t>
  </si>
  <si>
    <t>Z6E</t>
  </si>
  <si>
    <t>EXT Z6E</t>
  </si>
  <si>
    <t>ESSUYAGE AV</t>
  </si>
  <si>
    <t>EXT ZBC</t>
  </si>
  <si>
    <t>FRN 0_Total</t>
  </si>
  <si>
    <t>FRN 83G</t>
  </si>
  <si>
    <t>FRN 73R</t>
  </si>
  <si>
    <t>FRN C61</t>
  </si>
  <si>
    <t>FRN C62</t>
  </si>
  <si>
    <t>ELEMENTS COMMUNS 1C6</t>
  </si>
  <si>
    <t>C6Z</t>
  </si>
  <si>
    <t>FRN C6Z</t>
  </si>
  <si>
    <t>FRN C63</t>
  </si>
  <si>
    <t>FRN C71</t>
  </si>
  <si>
    <t>ARBRE RIGIDE</t>
  </si>
  <si>
    <t>C72</t>
  </si>
  <si>
    <t>FRN C72</t>
  </si>
  <si>
    <t>Transmission intermédiaire</t>
  </si>
  <si>
    <t>FRN C7Z</t>
  </si>
  <si>
    <t>FRN C73</t>
  </si>
  <si>
    <t>FRN C91</t>
  </si>
  <si>
    <t>MONTAGE TRANSMISSION</t>
  </si>
  <si>
    <t>CZA</t>
  </si>
  <si>
    <t>FRN CZA</t>
  </si>
  <si>
    <t>ELEMENTS COMMUNS 1F1</t>
  </si>
  <si>
    <t>F1Z</t>
  </si>
  <si>
    <t>FRN F1Z</t>
  </si>
  <si>
    <t>FRN F11</t>
  </si>
  <si>
    <t>FRN F21</t>
  </si>
  <si>
    <t>ELEMENTS COMMUNS 1F2</t>
  </si>
  <si>
    <t>F2Z</t>
  </si>
  <si>
    <t>FRN F2Z</t>
  </si>
  <si>
    <t>REFROIDISSEMENT FREIN AV</t>
  </si>
  <si>
    <t>F23</t>
  </si>
  <si>
    <t>FRN F23</t>
  </si>
  <si>
    <t>ELEMENTS COMMUNS 1F3</t>
  </si>
  <si>
    <t>F3Z</t>
  </si>
  <si>
    <t>FRN F3Z</t>
  </si>
  <si>
    <t>FRN F31</t>
  </si>
  <si>
    <t>FRN F41</t>
  </si>
  <si>
    <t>ELEMENTS COMMUNS 1F4</t>
  </si>
  <si>
    <t>F4Z</t>
  </si>
  <si>
    <t>FRN F4Z</t>
  </si>
  <si>
    <t>REFROIDISSEMENT FREIN AR</t>
  </si>
  <si>
    <t>F43</t>
  </si>
  <si>
    <t>FRN F43</t>
  </si>
  <si>
    <t>ELEMENTS COMMUNS 1F5</t>
  </si>
  <si>
    <t>F5Z</t>
  </si>
  <si>
    <t>FRN F5Z</t>
  </si>
  <si>
    <t>DISQUE – ETRIER – COMMANDE</t>
  </si>
  <si>
    <t>F51</t>
  </si>
  <si>
    <t>FRN F51</t>
  </si>
  <si>
    <t>DISPOSITIF COMMANDE FREIN PRINCIPAL</t>
  </si>
  <si>
    <t>F61</t>
  </si>
  <si>
    <t>FRN F61</t>
  </si>
  <si>
    <t>FRN F62</t>
  </si>
  <si>
    <t>CANALISATION FREIN PRINCIPAL</t>
  </si>
  <si>
    <t>F63</t>
  </si>
  <si>
    <t>FRN F63</t>
  </si>
  <si>
    <t>COMPENSATEUR – LIMITEUR FREIN PRINCIPAL</t>
  </si>
  <si>
    <t>F64</t>
  </si>
  <si>
    <t>FRN F64</t>
  </si>
  <si>
    <t>FRN F65</t>
  </si>
  <si>
    <t>FRN F66</t>
  </si>
  <si>
    <t>SYSTEME ANTIBLOCAGE – ANTIPATINAGE ROUE</t>
  </si>
  <si>
    <t>F67</t>
  </si>
  <si>
    <t>FRN F67</t>
  </si>
  <si>
    <t>FRN F68</t>
  </si>
  <si>
    <t>FRN F69</t>
  </si>
  <si>
    <t>SYSTEME CONTROLE DYNAMIQUE STABILITE</t>
  </si>
  <si>
    <t>F6A</t>
  </si>
  <si>
    <t>FRN F6A</t>
  </si>
  <si>
    <t>FRN F6B</t>
  </si>
  <si>
    <t>FRN F6C</t>
  </si>
  <si>
    <t>ELEMENTS COMMUNS 1F6</t>
  </si>
  <si>
    <t>F6Z</t>
  </si>
  <si>
    <t>FRN F6Z</t>
  </si>
  <si>
    <t>SYSTEME FREIN ELECTROHYDRAULIQUE</t>
  </si>
  <si>
    <t>F6D</t>
  </si>
  <si>
    <t>FRN F6D</t>
  </si>
  <si>
    <t>MECANISME FREIN STATIONNEMENT – SECONDAIRE</t>
  </si>
  <si>
    <t>F71</t>
  </si>
  <si>
    <t>FRN F71</t>
  </si>
  <si>
    <t>ELEMENTS COMMUNS 1F7</t>
  </si>
  <si>
    <t>F7Z</t>
  </si>
  <si>
    <t>FRN F7Z</t>
  </si>
  <si>
    <t>EQUIPEMENT ELECTRIQUE FREIN STATIONNEMENT – SECONDAIRE</t>
  </si>
  <si>
    <t>F72</t>
  </si>
  <si>
    <t>FRN F72</t>
  </si>
  <si>
    <t>MARQUAGE FREINAGE</t>
  </si>
  <si>
    <t>F91</t>
  </si>
  <si>
    <t>FRN F91</t>
  </si>
  <si>
    <t>MONTAGE FREINAGE</t>
  </si>
  <si>
    <t>FZA</t>
  </si>
  <si>
    <t>FRN FZA</t>
  </si>
  <si>
    <t>OUVERTURE FERMETURE MAINTIEN ROUE SECOURS</t>
  </si>
  <si>
    <t>N2D</t>
  </si>
  <si>
    <t>FRN N2D</t>
  </si>
  <si>
    <t>RDS</t>
  </si>
  <si>
    <t>FRN NR-</t>
  </si>
  <si>
    <t>HYD 0_Total</t>
  </si>
  <si>
    <t>HYD 73R</t>
  </si>
  <si>
    <t>HYD E16</t>
  </si>
  <si>
    <t>HYD E27</t>
  </si>
  <si>
    <t>HYD E28</t>
  </si>
  <si>
    <t>CORRECTION ASSIETTE AUTOMATIQUE</t>
  </si>
  <si>
    <t>G51</t>
  </si>
  <si>
    <t>HYD G51</t>
  </si>
  <si>
    <t>CORRECTION ASSIETTE MANUELLE</t>
  </si>
  <si>
    <t>G52</t>
  </si>
  <si>
    <t>HYD G52</t>
  </si>
  <si>
    <t>CORRECTION ASSIETTE ELECTRIQUE</t>
  </si>
  <si>
    <t>G53</t>
  </si>
  <si>
    <t>HYD G53</t>
  </si>
  <si>
    <t>ELEMENTS COMMUNS 1G5</t>
  </si>
  <si>
    <t>G5Z</t>
  </si>
  <si>
    <t>HYD G5Z</t>
  </si>
  <si>
    <t>CORRECTION ASSIETTE MECATRONIQUE</t>
  </si>
  <si>
    <t>G54</t>
  </si>
  <si>
    <t>HYD G54</t>
  </si>
  <si>
    <t>SOURCE PRESSION ASSISTANCE (si multifonctionnelle)</t>
  </si>
  <si>
    <t>G61</t>
  </si>
  <si>
    <t>HYD G61</t>
  </si>
  <si>
    <t>CANALISATION PRESSION MULTIFONCTIONNELLE</t>
  </si>
  <si>
    <t>G62</t>
  </si>
  <si>
    <t>HYD G62</t>
  </si>
  <si>
    <t>CANALISATION RETOUR MULTIFONCTIONNELLE</t>
  </si>
  <si>
    <t>G63</t>
  </si>
  <si>
    <t>HYD G63</t>
  </si>
  <si>
    <t>DISPOSITIF REGULATION</t>
  </si>
  <si>
    <t>G64</t>
  </si>
  <si>
    <t>HYD G64</t>
  </si>
  <si>
    <t>ACCUMULATEUR PRESSION</t>
  </si>
  <si>
    <t>G65</t>
  </si>
  <si>
    <t>HYD G65</t>
  </si>
  <si>
    <t>VANNE – DETECTEUR</t>
  </si>
  <si>
    <t>G66</t>
  </si>
  <si>
    <t>HYD G66</t>
  </si>
  <si>
    <t>RESERVOIR ALIMENTATION</t>
  </si>
  <si>
    <t>G67</t>
  </si>
  <si>
    <t>HYD G67</t>
  </si>
  <si>
    <t>ELEMENTS COMMUNS 1G6</t>
  </si>
  <si>
    <t>G6Z</t>
  </si>
  <si>
    <t>HYD G6Z</t>
  </si>
  <si>
    <t>HYD G68</t>
  </si>
  <si>
    <t>DISPOSITIF REGULATION SUSPENSION (RAIDEUR ET AMORTISSEMENT VARIABLES)</t>
  </si>
  <si>
    <t>G71</t>
  </si>
  <si>
    <t>HYD G71</t>
  </si>
  <si>
    <t>COMMANDE REGULATION SUSPENSION (RAIDEUR ET AMORTISSEMENT VARIABLES)</t>
  </si>
  <si>
    <t>G72</t>
  </si>
  <si>
    <t>HYD G72</t>
  </si>
  <si>
    <t>VERROUILLAGE SUSPENSION (antiaffaissement)</t>
  </si>
  <si>
    <t>G73</t>
  </si>
  <si>
    <t>HYD G73</t>
  </si>
  <si>
    <t>DISPOSITIF REGULATION ANTIDEVERS</t>
  </si>
  <si>
    <t>G74</t>
  </si>
  <si>
    <t>HYD G74</t>
  </si>
  <si>
    <t>COMMANDE REGULATION ANTIDEVERS</t>
  </si>
  <si>
    <t>G75</t>
  </si>
  <si>
    <t>HYD G75</t>
  </si>
  <si>
    <t>EQUIPEMENT ELECTRIQUE REGULATION VERROUILLAGE SUSPENSION</t>
  </si>
  <si>
    <t>G76</t>
  </si>
  <si>
    <t>HYD G76</t>
  </si>
  <si>
    <t>ELEMENTS COMMUNS 1G7</t>
  </si>
  <si>
    <t>G7Z</t>
  </si>
  <si>
    <t>HYD G7Z</t>
  </si>
  <si>
    <t>HYD G77</t>
  </si>
  <si>
    <t>MONTAGE ENSEMBLE COMMANDES</t>
  </si>
  <si>
    <t>GZA</t>
  </si>
  <si>
    <t>HYD GZA</t>
  </si>
  <si>
    <t>HYD NR-</t>
  </si>
  <si>
    <t>INT</t>
  </si>
  <si>
    <t>FONCTION ETUDES</t>
  </si>
  <si>
    <t>51Y</t>
  </si>
  <si>
    <t>INT 51Y</t>
  </si>
  <si>
    <t>INT 0_Total</t>
  </si>
  <si>
    <t>INT 83G</t>
  </si>
  <si>
    <t>INT 73R</t>
  </si>
  <si>
    <t>ARMATURE – MECANISME CAPOTE</t>
  </si>
  <si>
    <t>N3B</t>
  </si>
  <si>
    <t>INT N3B</t>
  </si>
  <si>
    <t>ARCEAUX BACHE</t>
  </si>
  <si>
    <t>N3C</t>
  </si>
  <si>
    <t>INT N3C</t>
  </si>
  <si>
    <t>ELEMENTS COMMUNS 3N3</t>
  </si>
  <si>
    <t>N3Z</t>
  </si>
  <si>
    <t>INT N3Z</t>
  </si>
  <si>
    <t>MECANISME RIDELLE PLATEAU</t>
  </si>
  <si>
    <t>N3E</t>
  </si>
  <si>
    <t>INT N3E</t>
  </si>
  <si>
    <t>INT NR-</t>
  </si>
  <si>
    <t>PARE-SOLEIL AV</t>
  </si>
  <si>
    <t>T2A</t>
  </si>
  <si>
    <t>INT T2A</t>
  </si>
  <si>
    <t>PARE-SOLEIL LAT – STORE</t>
  </si>
  <si>
    <t>T2B</t>
  </si>
  <si>
    <t>INT T2B</t>
  </si>
  <si>
    <t>EQUIPEMENT INT</t>
  </si>
  <si>
    <t>CONSOLE PAVILLON</t>
  </si>
  <si>
    <t>T2C</t>
  </si>
  <si>
    <t>INT T2C</t>
  </si>
  <si>
    <t>REPOSE-PIED</t>
  </si>
  <si>
    <t>T2D</t>
  </si>
  <si>
    <t>INT T2D</t>
  </si>
  <si>
    <t>ELEMENTS COMMUNS 3T2</t>
  </si>
  <si>
    <t>T2Z</t>
  </si>
  <si>
    <t>INT T2Z</t>
  </si>
  <si>
    <t>INT T2G</t>
  </si>
  <si>
    <t>POIGNEE INT – CROCHET</t>
  </si>
  <si>
    <t>T3A</t>
  </si>
  <si>
    <t>INT T3A</t>
  </si>
  <si>
    <t>PROTECTEUR LONGERON</t>
  </si>
  <si>
    <t>T3B</t>
  </si>
  <si>
    <t>INT T3B</t>
  </si>
  <si>
    <t>EXTINCTEUR – SUPPORT</t>
  </si>
  <si>
    <t>T3C</t>
  </si>
  <si>
    <t>INT T3C</t>
  </si>
  <si>
    <t>Extincteur</t>
  </si>
  <si>
    <t>RANGEMENT</t>
  </si>
  <si>
    <t>T3D</t>
  </si>
  <si>
    <t>INT T3D</t>
  </si>
  <si>
    <t>PLANS REGLEMENTATION</t>
  </si>
  <si>
    <t>T3H</t>
  </si>
  <si>
    <t>INT T3H</t>
  </si>
  <si>
    <t>EQUIPEMENT SPECIFIQUE</t>
  </si>
  <si>
    <t>T3K</t>
  </si>
  <si>
    <t>INT T3K</t>
  </si>
  <si>
    <t>INT T3L</t>
  </si>
  <si>
    <t>ELEMENTS COMMUNS 3T3</t>
  </si>
  <si>
    <t>T3Z</t>
  </si>
  <si>
    <t>INT T3Z</t>
  </si>
  <si>
    <t>PARFUMEUR D'AMBIANCE</t>
  </si>
  <si>
    <t>T3N</t>
  </si>
  <si>
    <t>INT T3N</t>
  </si>
  <si>
    <t>TZA</t>
  </si>
  <si>
    <t>INT TZA</t>
  </si>
  <si>
    <t>INT U1C</t>
  </si>
  <si>
    <t>JOINT HARD-TOP – CAPOTE</t>
  </si>
  <si>
    <t>W5B</t>
  </si>
  <si>
    <t>INT W5B</t>
  </si>
  <si>
    <t>INSONO TABLIER – AUVENT</t>
  </si>
  <si>
    <t>X1A</t>
  </si>
  <si>
    <t>INT X1A</t>
  </si>
  <si>
    <t>INSONO BLOC AV</t>
  </si>
  <si>
    <t>ELEMENTS COMMUNS 3X1</t>
  </si>
  <si>
    <t>X1Z</t>
  </si>
  <si>
    <t>INT X1Z</t>
  </si>
  <si>
    <t>INSONO CAPOT</t>
  </si>
  <si>
    <t>X1B</t>
  </si>
  <si>
    <t>INT X1B</t>
  </si>
  <si>
    <t>TAPIS – INSONO PLANCHER – LONGERON</t>
  </si>
  <si>
    <t>X2A</t>
  </si>
  <si>
    <t>INT X2A</t>
  </si>
  <si>
    <t>TAPIS HABITACLE</t>
  </si>
  <si>
    <t>TAPIS – INSONO TABLIER – AUVENT</t>
  </si>
  <si>
    <t>X2B</t>
  </si>
  <si>
    <t>INT X2B</t>
  </si>
  <si>
    <t>INSONO PDB</t>
  </si>
  <si>
    <t>ELEMENTS COMMUNS 3X2</t>
  </si>
  <si>
    <t>X2Z</t>
  </si>
  <si>
    <t>INT X2Z</t>
  </si>
  <si>
    <t>TAPIS – INSONO COTE AUVENT</t>
  </si>
  <si>
    <t>X2C</t>
  </si>
  <si>
    <t>INT X2C</t>
  </si>
  <si>
    <t>PASSAGE ROUE – PIEDS – LONGERON – CUSTODE</t>
  </si>
  <si>
    <t>X3A</t>
  </si>
  <si>
    <t>INT X3A</t>
  </si>
  <si>
    <t>GARNISSAGE – INSONO PAVILLON</t>
  </si>
  <si>
    <t>X3B</t>
  </si>
  <si>
    <t>INT X3B</t>
  </si>
  <si>
    <t>GARNISSAGE – INSONO TOIT OUVRANT – TOIT ESCAMOTABLE</t>
  </si>
  <si>
    <t>X3C</t>
  </si>
  <si>
    <t>INT X3C</t>
  </si>
  <si>
    <t>GARNISSAGE – INSONO SEPARATION AR</t>
  </si>
  <si>
    <t>X3D</t>
  </si>
  <si>
    <t>INT X3D</t>
  </si>
  <si>
    <t>CAPOTE</t>
  </si>
  <si>
    <t>X3F</t>
  </si>
  <si>
    <t>INT X3F</t>
  </si>
  <si>
    <t>BACHE</t>
  </si>
  <si>
    <t>X3G</t>
  </si>
  <si>
    <t>INT X3G</t>
  </si>
  <si>
    <t>ELEMENTS COMMUNS 3X3</t>
  </si>
  <si>
    <t>X3Z</t>
  </si>
  <si>
    <t>INT X3Z</t>
  </si>
  <si>
    <t>HARD-TOP</t>
  </si>
  <si>
    <t>X3H</t>
  </si>
  <si>
    <t>INT X3H</t>
  </si>
  <si>
    <t>GARNISSAGE PANNEAU PORTE</t>
  </si>
  <si>
    <t>X4A</t>
  </si>
  <si>
    <t>INT X4A</t>
  </si>
  <si>
    <t>ACCOUDOIR – POIGNEE TIRAGE PORTE</t>
  </si>
  <si>
    <t>X4B</t>
  </si>
  <si>
    <t>INT X4B</t>
  </si>
  <si>
    <t>GARNISSAGE CADRE PORTE – GOUSSET</t>
  </si>
  <si>
    <t>X4C</t>
  </si>
  <si>
    <t>INT X4C</t>
  </si>
  <si>
    <t>GARNISSAGE COTE AR AVEC RANGEMENT</t>
  </si>
  <si>
    <t>X4D</t>
  </si>
  <si>
    <t>INT X4D</t>
  </si>
  <si>
    <t>ELEMENTS COMMUNS 3X4</t>
  </si>
  <si>
    <t>X4Z</t>
  </si>
  <si>
    <t>INT X4Z</t>
  </si>
  <si>
    <t>COMPOSITION PANNEAU PORTE GARNI</t>
  </si>
  <si>
    <t>X4E</t>
  </si>
  <si>
    <t>INT X4E</t>
  </si>
  <si>
    <t>TAPIS COFFRE – PLANCHER CHARGE</t>
  </si>
  <si>
    <t>X5A</t>
  </si>
  <si>
    <t>INT X5A</t>
  </si>
  <si>
    <t>TAPIS COFFRE</t>
  </si>
  <si>
    <t>GARNISSAGE ELEMENTS MOBILES ACCES AR</t>
  </si>
  <si>
    <t>X5B</t>
  </si>
  <si>
    <t>INT X5B</t>
  </si>
  <si>
    <t>PROTECTION – ACCES ROUE SECOURS</t>
  </si>
  <si>
    <t>X5C</t>
  </si>
  <si>
    <t>INT X5C</t>
  </si>
  <si>
    <t>GARNISSAGE COFFRE AR</t>
  </si>
  <si>
    <t>X5D</t>
  </si>
  <si>
    <t>INT X5D</t>
  </si>
  <si>
    <t>ELEMENTS COMMUNS 3X5</t>
  </si>
  <si>
    <t>X5Z</t>
  </si>
  <si>
    <t>INT X5Z</t>
  </si>
  <si>
    <t>X5E</t>
  </si>
  <si>
    <t>INT X5E</t>
  </si>
  <si>
    <t>ELEMENTS COMMUNS 3X6</t>
  </si>
  <si>
    <t>X6Z</t>
  </si>
  <si>
    <t>INT X6Z</t>
  </si>
  <si>
    <t>GARNISSAGE CLOISON MOBILE</t>
  </si>
  <si>
    <t>X6B</t>
  </si>
  <si>
    <t>INT X6B</t>
  </si>
  <si>
    <t>XZA</t>
  </si>
  <si>
    <t>INT XZA</t>
  </si>
  <si>
    <t>LAS 0_Total</t>
  </si>
  <si>
    <t>LAS 83G</t>
  </si>
  <si>
    <t>LAS 73R</t>
  </si>
  <si>
    <t>LAS E11</t>
  </si>
  <si>
    <t>LAS E12</t>
  </si>
  <si>
    <t>LAS E13</t>
  </si>
  <si>
    <t>LAS E14</t>
  </si>
  <si>
    <t>ELEMENTS COMMUNS 1E1</t>
  </si>
  <si>
    <t>E1Z</t>
  </si>
  <si>
    <t>LAS E1Z</t>
  </si>
  <si>
    <t>LAS E15</t>
  </si>
  <si>
    <t>LAS E21</t>
  </si>
  <si>
    <t>LAS E22</t>
  </si>
  <si>
    <t>LAS E23</t>
  </si>
  <si>
    <t>LAS E24</t>
  </si>
  <si>
    <t>LAS E25</t>
  </si>
  <si>
    <t>LAS E26</t>
  </si>
  <si>
    <t>ELEMENTS COMMUNS 1E2</t>
  </si>
  <si>
    <t>E2Z</t>
  </si>
  <si>
    <t>LAS E2Z</t>
  </si>
  <si>
    <t>ELEMENT SUSPENSION AR PNEUMATIQUE</t>
  </si>
  <si>
    <t>E29</t>
  </si>
  <si>
    <t>LAS E29</t>
  </si>
  <si>
    <t>LAS E31</t>
  </si>
  <si>
    <t>ROUE SECOURS (SI DIFFERENTE ROUE PRINCIPALE)</t>
  </si>
  <si>
    <t>E32</t>
  </si>
  <si>
    <t>LAS E32</t>
  </si>
  <si>
    <t>LAS E33</t>
  </si>
  <si>
    <t>ELEMENTS COMMUNS 1E3</t>
  </si>
  <si>
    <t>E3Z</t>
  </si>
  <si>
    <t>LAS E3Z</t>
  </si>
  <si>
    <t>ELEMENTS COMMUNS 1E4</t>
  </si>
  <si>
    <t>E4Z</t>
  </si>
  <si>
    <t>LAS E4Z</t>
  </si>
  <si>
    <t>LAS E34</t>
  </si>
  <si>
    <t>LAS E91</t>
  </si>
  <si>
    <t>MONTAGE LIAISON AU SOL</t>
  </si>
  <si>
    <t>EZA</t>
  </si>
  <si>
    <t>LAS EZA</t>
  </si>
  <si>
    <t>DISPOSITIF CHANGEMENT ROUE</t>
  </si>
  <si>
    <t>H11</t>
  </si>
  <si>
    <t>LAS H11</t>
  </si>
  <si>
    <t>ELEMENTS COMMUNS 1H1</t>
  </si>
  <si>
    <t>H1Z</t>
  </si>
  <si>
    <t>LAS H1Z</t>
  </si>
  <si>
    <t>OUTILS – CLE BOUGIE – RANGEMENT</t>
  </si>
  <si>
    <t>H12</t>
  </si>
  <si>
    <t>LAS H12</t>
  </si>
  <si>
    <t>LAS NR-</t>
  </si>
  <si>
    <t>NR- 0_Total</t>
  </si>
  <si>
    <t>NR- 73R</t>
  </si>
  <si>
    <t>NR- NR-</t>
  </si>
  <si>
    <t>OUV</t>
  </si>
  <si>
    <t>MASTIC ETANCHEITE</t>
  </si>
  <si>
    <t>51B</t>
  </si>
  <si>
    <t>OUV 51B</t>
  </si>
  <si>
    <t>OUV 51Y</t>
  </si>
  <si>
    <t>PONCAGE</t>
  </si>
  <si>
    <t>53B</t>
  </si>
  <si>
    <t>OUV 53B</t>
  </si>
  <si>
    <t>CONTROLE, RETOUCHE</t>
  </si>
  <si>
    <t>53D</t>
  </si>
  <si>
    <t>OUV 53D</t>
  </si>
  <si>
    <t>MANUTENTION ET OPERATIONS COMPLEMENTAIRES</t>
  </si>
  <si>
    <t>53G</t>
  </si>
  <si>
    <t>OUV 53G</t>
  </si>
  <si>
    <t>OUV 0_Total</t>
  </si>
  <si>
    <t>OUV 83G</t>
  </si>
  <si>
    <t>OUV 73R</t>
  </si>
  <si>
    <t>TOLERIE</t>
  </si>
  <si>
    <t>INFORMATIONS OUVRANT</t>
  </si>
  <si>
    <t>K1D</t>
  </si>
  <si>
    <t>OUV K1D</t>
  </si>
  <si>
    <t>ARC PAVILLON (SI AMOVIBLE)</t>
  </si>
  <si>
    <t>K4J</t>
  </si>
  <si>
    <t>OUV K4J</t>
  </si>
  <si>
    <t>Caisse en blanc (avec peinture)</t>
  </si>
  <si>
    <t>TOIT OUVRANT – ESCAMOTABLE</t>
  </si>
  <si>
    <t>K7D</t>
  </si>
  <si>
    <t>OUV K7D</t>
  </si>
  <si>
    <t>PORTE AV</t>
  </si>
  <si>
    <t>K7F</t>
  </si>
  <si>
    <t>OUV K7F</t>
  </si>
  <si>
    <t>PORTE AR</t>
  </si>
  <si>
    <t>K7G</t>
  </si>
  <si>
    <t>OUV K7G</t>
  </si>
  <si>
    <t>ELEMENTS COMMUNS 2K7</t>
  </si>
  <si>
    <t>K7Z</t>
  </si>
  <si>
    <t>OUV K7Z</t>
  </si>
  <si>
    <t>PORTE CHARGEMENT LAT</t>
  </si>
  <si>
    <t>K7H</t>
  </si>
  <si>
    <t>OUV K7H</t>
  </si>
  <si>
    <t>COMMANDE EXT</t>
  </si>
  <si>
    <t>N1C</t>
  </si>
  <si>
    <t>OUV N1C</t>
  </si>
  <si>
    <t>COMMANDE INT</t>
  </si>
  <si>
    <t>N1D</t>
  </si>
  <si>
    <t>OUV N1D</t>
  </si>
  <si>
    <t>SERRURE PORTE AV – AR – LAT</t>
  </si>
  <si>
    <t>N1E</t>
  </si>
  <si>
    <t>OUV N1E</t>
  </si>
  <si>
    <t>ELEMENTS COMMUNS 3N1</t>
  </si>
  <si>
    <t>N1Z</t>
  </si>
  <si>
    <t>OUV N1Z</t>
  </si>
  <si>
    <t>OUV N1F</t>
  </si>
  <si>
    <t>OUV N2B</t>
  </si>
  <si>
    <t>ELEMENTS COMMUNS 3N2</t>
  </si>
  <si>
    <t>N2Z</t>
  </si>
  <si>
    <t>OUV N2Z</t>
  </si>
  <si>
    <t>OUV N2E</t>
  </si>
  <si>
    <t>MECANISME – COMMANDE TOIT – COFFRE</t>
  </si>
  <si>
    <t>N3A</t>
  </si>
  <si>
    <t>OUV N3A</t>
  </si>
  <si>
    <t>OUV N3D</t>
  </si>
  <si>
    <t>VERROU PORTES</t>
  </si>
  <si>
    <t>N4B</t>
  </si>
  <si>
    <t>OUV N4B</t>
  </si>
  <si>
    <t>VERROU ELEMENTS ACCES AR</t>
  </si>
  <si>
    <t>N4C</t>
  </si>
  <si>
    <t>OUV N4C</t>
  </si>
  <si>
    <t>VERROU TRAPPE REMPLISSAGE CARBURANT</t>
  </si>
  <si>
    <t>N4E</t>
  </si>
  <si>
    <t>OUV N4E</t>
  </si>
  <si>
    <t>TRAPPE CARBURANT / PRISE CHARGE</t>
  </si>
  <si>
    <t>JEU VERROUS</t>
  </si>
  <si>
    <t>N4F</t>
  </si>
  <si>
    <t>OUV N4F</t>
  </si>
  <si>
    <t>ELEMENTS COMMUNS 3N4</t>
  </si>
  <si>
    <t>N4Z</t>
  </si>
  <si>
    <t>OUV N4Z</t>
  </si>
  <si>
    <t>VERROUS DIVERS</t>
  </si>
  <si>
    <t>N4G</t>
  </si>
  <si>
    <t>OUV N4G</t>
  </si>
  <si>
    <t>MECANISME – COMMANDE VITRE PORTE AV – AR</t>
  </si>
  <si>
    <t>N5A</t>
  </si>
  <si>
    <t>OUV N5A</t>
  </si>
  <si>
    <t>GUIDE COULISSE PORTE AV – AR</t>
  </si>
  <si>
    <t>N5B</t>
  </si>
  <si>
    <t>OUV N5B</t>
  </si>
  <si>
    <t>MECANISME – COMMANDE VITRE LAT AR – LAT – SEPARATION</t>
  </si>
  <si>
    <t>N5D</t>
  </si>
  <si>
    <t>OUV N5D</t>
  </si>
  <si>
    <t>ELEMENTS COMMUNS 3N5</t>
  </si>
  <si>
    <t>N5Z</t>
  </si>
  <si>
    <t>OUV N5Z</t>
  </si>
  <si>
    <t>OUV N5E</t>
  </si>
  <si>
    <t>OUV NR-</t>
  </si>
  <si>
    <t>NZA</t>
  </si>
  <si>
    <t>OUV NZA</t>
  </si>
  <si>
    <t>VITRE PARE-BRISE – LUNETTE AR</t>
  </si>
  <si>
    <t>P1A</t>
  </si>
  <si>
    <t>OUV P1A</t>
  </si>
  <si>
    <t>Pare brise</t>
  </si>
  <si>
    <t>OUV P1B</t>
  </si>
  <si>
    <t>VITRE PORTE</t>
  </si>
  <si>
    <t>P1C</t>
  </si>
  <si>
    <t>OUV P1C</t>
  </si>
  <si>
    <t>VITRAGE</t>
  </si>
  <si>
    <t>VITRE CUSTODE – LAT</t>
  </si>
  <si>
    <t>P1D</t>
  </si>
  <si>
    <t>OUV P1D</t>
  </si>
  <si>
    <t>VITRAGE CAISSE</t>
  </si>
  <si>
    <t>Vitrage latéraux (Custodes)</t>
  </si>
  <si>
    <t>VITRE SEPARATION</t>
  </si>
  <si>
    <t>P1E</t>
  </si>
  <si>
    <t>OUV P1E</t>
  </si>
  <si>
    <t>ELEMENTS COMMUNS 3P1</t>
  </si>
  <si>
    <t>P1Z</t>
  </si>
  <si>
    <t>OUV P1Z</t>
  </si>
  <si>
    <t>VITRE PAVILLON</t>
  </si>
  <si>
    <t>P1F</t>
  </si>
  <si>
    <t>OUV P1F</t>
  </si>
  <si>
    <t>ENJOLIVEUR PARE-BRISE – LUNETTE AR</t>
  </si>
  <si>
    <t>R2A</t>
  </si>
  <si>
    <t>OUV R2A</t>
  </si>
  <si>
    <t>Enjoliveur latéraux</t>
  </si>
  <si>
    <t>ENJOLIVEUR LAT – ENCADREMENT</t>
  </si>
  <si>
    <t>R2B</t>
  </si>
  <si>
    <t>OUV R2B</t>
  </si>
  <si>
    <t>ENJOLIVEUR EXT PORTE AV – AR</t>
  </si>
  <si>
    <t>R2D</t>
  </si>
  <si>
    <t>OUV R2D</t>
  </si>
  <si>
    <t>ELEMENTS COMMUNS 3R2</t>
  </si>
  <si>
    <t>R2Z</t>
  </si>
  <si>
    <t>OUV R2Z</t>
  </si>
  <si>
    <t>Système cloison de séparation cabine</t>
  </si>
  <si>
    <t>ENJOLIVEUR BAS VITRE PORTE</t>
  </si>
  <si>
    <t>R2E</t>
  </si>
  <si>
    <t>OUV R2E</t>
  </si>
  <si>
    <t>ENJOLIVEUR JET D’EAU</t>
  </si>
  <si>
    <t>R3A</t>
  </si>
  <si>
    <t>OUV R3A</t>
  </si>
  <si>
    <t>ENJOLIVEUR CUSTODE</t>
  </si>
  <si>
    <t>R3B</t>
  </si>
  <si>
    <t>OUV R3B</t>
  </si>
  <si>
    <t>OUV R3D</t>
  </si>
  <si>
    <t>ENJOLIVEUR MONTANT CENT</t>
  </si>
  <si>
    <t>R3J</t>
  </si>
  <si>
    <t>OUV R3J</t>
  </si>
  <si>
    <t>RETROVISEUR EXT PASSAGER</t>
  </si>
  <si>
    <t>R5A</t>
  </si>
  <si>
    <t>OUV R5A</t>
  </si>
  <si>
    <t>RETROVISEUR EXT CONDUCTEUR</t>
  </si>
  <si>
    <t>R5B</t>
  </si>
  <si>
    <t>OUV R5B</t>
  </si>
  <si>
    <t>POIGNEE MONTOIR EXT</t>
  </si>
  <si>
    <t>R5K</t>
  </si>
  <si>
    <t>OUV R5K</t>
  </si>
  <si>
    <t>OUV R5P</t>
  </si>
  <si>
    <t>RETROVISEUR INT</t>
  </si>
  <si>
    <t>T2E</t>
  </si>
  <si>
    <t>OUV T2E</t>
  </si>
  <si>
    <t>OUV T2F</t>
  </si>
  <si>
    <t>ELEMENTS PROTECTION (STRUCTURE)</t>
  </si>
  <si>
    <t>T3E</t>
  </si>
  <si>
    <t>OUV T3E</t>
  </si>
  <si>
    <t>OUV T3L</t>
  </si>
  <si>
    <t>SCELLEMENT PARE-BRISE</t>
  </si>
  <si>
    <t>W1A</t>
  </si>
  <si>
    <t>OUV W1A</t>
  </si>
  <si>
    <t>Joint</t>
  </si>
  <si>
    <t>SCELLEMENT CUSTODE – VITRE LAT</t>
  </si>
  <si>
    <t>W1B</t>
  </si>
  <si>
    <t>OUV W1B</t>
  </si>
  <si>
    <t>SCELLEMENT VITRE AR</t>
  </si>
  <si>
    <t>W1C</t>
  </si>
  <si>
    <t>OUV W1C</t>
  </si>
  <si>
    <t>Lunette arrière</t>
  </si>
  <si>
    <t>SCELLEMENT VITRE SEPARATION</t>
  </si>
  <si>
    <t>W1D</t>
  </si>
  <si>
    <t>OUV W1D</t>
  </si>
  <si>
    <t>SCELLEMENT VITRE – ELEMENTS ACCES AR</t>
  </si>
  <si>
    <t>W1E</t>
  </si>
  <si>
    <t>OUV W1E</t>
  </si>
  <si>
    <t>ELEMENTS COMMUNS 3W1</t>
  </si>
  <si>
    <t>W1Z</t>
  </si>
  <si>
    <t>OUV W1Z</t>
  </si>
  <si>
    <t>SCELLEMENT VITRE PAVILLON</t>
  </si>
  <si>
    <t>W1F</t>
  </si>
  <si>
    <t>OUV W1F</t>
  </si>
  <si>
    <t>JOINT ETANCHEITE PORTES AV – AR – COTE AR</t>
  </si>
  <si>
    <t>W2A</t>
  </si>
  <si>
    <t>OUV W2A</t>
  </si>
  <si>
    <t>COULISSE VITRE PORTES AV – AR</t>
  </si>
  <si>
    <t>W2B</t>
  </si>
  <si>
    <t>OUV W2B</t>
  </si>
  <si>
    <t>LECHEUR EXT BAS VITRE PORTES AV – AR</t>
  </si>
  <si>
    <t>W2C</t>
  </si>
  <si>
    <t>OUV W2C</t>
  </si>
  <si>
    <t>LECHEUR INT BAS VITRE PORTES AV – AR</t>
  </si>
  <si>
    <t>W2D</t>
  </si>
  <si>
    <t>OUV W2D</t>
  </si>
  <si>
    <t>ELEMENTS COMMUNS 3W2</t>
  </si>
  <si>
    <t>W2Z</t>
  </si>
  <si>
    <t>OUV W2Z</t>
  </si>
  <si>
    <t>SCELLEMENT VITRE FIXE PORTES AV – AR</t>
  </si>
  <si>
    <t>W2E</t>
  </si>
  <si>
    <t>OUV W2E</t>
  </si>
  <si>
    <t>JOINT ACCES AR</t>
  </si>
  <si>
    <t>W3A</t>
  </si>
  <si>
    <t>OUV W3A</t>
  </si>
  <si>
    <t>ELEMENTS COMMUNS 3W3</t>
  </si>
  <si>
    <t>W3Z</t>
  </si>
  <si>
    <t>OUV W3Z</t>
  </si>
  <si>
    <t>JOINT CAPOT – COFFRE – TABLETTE AR</t>
  </si>
  <si>
    <t>W3B</t>
  </si>
  <si>
    <t>OUV W3B</t>
  </si>
  <si>
    <t>JOINT TOIT OUVRANT – TOIT ESCAMOTABLE</t>
  </si>
  <si>
    <t>W5A</t>
  </si>
  <si>
    <t>OUV W5A</t>
  </si>
  <si>
    <t>ELEMENTS COMMUNS 3W5</t>
  </si>
  <si>
    <t>W5Z</t>
  </si>
  <si>
    <t>OUV W5Z</t>
  </si>
  <si>
    <t>JOINT PAVILLON – LUNETTE</t>
  </si>
  <si>
    <t>W5C</t>
  </si>
  <si>
    <t>OUV W5C</t>
  </si>
  <si>
    <t>WZA</t>
  </si>
  <si>
    <t>OUV WZA</t>
  </si>
  <si>
    <t>PLAQUETTE – OBTURATEUR – BUTEE – ADHESIF (ELEMENTS MOBILES)</t>
  </si>
  <si>
    <t>X6D</t>
  </si>
  <si>
    <t>OUV X6D</t>
  </si>
  <si>
    <t>PLAQUE THERMOFUSIBLE – AMORTISSANT (ELEMENTS MOBILES)</t>
  </si>
  <si>
    <t>X6E</t>
  </si>
  <si>
    <t>OUV X6E</t>
  </si>
  <si>
    <t>LAVE-PROJECTEUR – FEU</t>
  </si>
  <si>
    <t>Z6A</t>
  </si>
  <si>
    <t>OUV Z6A</t>
  </si>
  <si>
    <t>SYSTÈME LAVAGE</t>
  </si>
  <si>
    <t>LAVE-VITRE AV</t>
  </si>
  <si>
    <t>Z6B</t>
  </si>
  <si>
    <t>OUV Z6B</t>
  </si>
  <si>
    <t>LAVE-VITRE AR</t>
  </si>
  <si>
    <t>Z6C</t>
  </si>
  <si>
    <t>OUV Z6C</t>
  </si>
  <si>
    <t>ESSUIE-PROJECTEUR – FEU</t>
  </si>
  <si>
    <t>Z6D</t>
  </si>
  <si>
    <t>OUV Z6D</t>
  </si>
  <si>
    <t>OUV Z6E</t>
  </si>
  <si>
    <t>ESSUIE-VITRE AR</t>
  </si>
  <si>
    <t>Z6F</t>
  </si>
  <si>
    <t>OUV Z6F</t>
  </si>
  <si>
    <t>ESSUYAGE AR</t>
  </si>
  <si>
    <t>ELEMENTS COMMUNS 3Z6</t>
  </si>
  <si>
    <t>Z6Z</t>
  </si>
  <si>
    <t>OUV Z6Z</t>
  </si>
  <si>
    <t>DEGIVRAGE ELECTRIQUE VITRES</t>
  </si>
  <si>
    <t>Z6G</t>
  </si>
  <si>
    <t>OUV Z6G</t>
  </si>
  <si>
    <t>PDC</t>
  </si>
  <si>
    <t>PDC 0_Total</t>
  </si>
  <si>
    <t>PDC 73R</t>
  </si>
  <si>
    <t>VOLANT DIRECTION</t>
  </si>
  <si>
    <t>E46</t>
  </si>
  <si>
    <t>PDC E46</t>
  </si>
  <si>
    <t>VERROU VIDE-POCHES</t>
  </si>
  <si>
    <t>N4D</t>
  </si>
  <si>
    <t>PDC N4D</t>
  </si>
  <si>
    <t>PDC NR-</t>
  </si>
  <si>
    <t>PLANCHE BORD</t>
  </si>
  <si>
    <t>S1A</t>
  </si>
  <si>
    <t>PDC S1A</t>
  </si>
  <si>
    <t>ENJOLIVEUR – EMBLEME</t>
  </si>
  <si>
    <t>S1B</t>
  </si>
  <si>
    <t>PDC S1B</t>
  </si>
  <si>
    <t>VISIERE COMBINE</t>
  </si>
  <si>
    <t>S1C</t>
  </si>
  <si>
    <t>PDC S1C</t>
  </si>
  <si>
    <t>GAINE COLONNE – SOUFFLET</t>
  </si>
  <si>
    <t>S1D</t>
  </si>
  <si>
    <t>PDC S1D</t>
  </si>
  <si>
    <t>ELEMENTS COMMUNS 3S1</t>
  </si>
  <si>
    <t>S1Z</t>
  </si>
  <si>
    <t>PDC S1Z</t>
  </si>
  <si>
    <t>S1E</t>
  </si>
  <si>
    <t>PDC S1E</t>
  </si>
  <si>
    <t>S2A</t>
  </si>
  <si>
    <t>PDC S2A</t>
  </si>
  <si>
    <t>GARNISSAGE INF – LAT</t>
  </si>
  <si>
    <t>S2B</t>
  </si>
  <si>
    <t>PDC S2B</t>
  </si>
  <si>
    <t>RANGEMENT SOUS PLANCHE BORD</t>
  </si>
  <si>
    <t>S2C</t>
  </si>
  <si>
    <t>PDC S2C</t>
  </si>
  <si>
    <t>ELEMENTS COMMUNS 3S2</t>
  </si>
  <si>
    <t>S2Z</t>
  </si>
  <si>
    <t>PDC S2Z</t>
  </si>
  <si>
    <t>GARNISSAGE INF – CENT</t>
  </si>
  <si>
    <t>S2D</t>
  </si>
  <si>
    <t>PDC S2D</t>
  </si>
  <si>
    <t>S3A</t>
  </si>
  <si>
    <t>PDC S3A</t>
  </si>
  <si>
    <t>GARNITURE LEVIER VITESSES</t>
  </si>
  <si>
    <t>S3B</t>
  </si>
  <si>
    <t>PDC S3B</t>
  </si>
  <si>
    <t>GARNITURE FREIN SECONDAIRE</t>
  </si>
  <si>
    <t>S3C</t>
  </si>
  <si>
    <t>PDC S3C</t>
  </si>
  <si>
    <t>ELEMENTS COMMUNS 3S3</t>
  </si>
  <si>
    <t>S3Z</t>
  </si>
  <si>
    <t>PDC S3Z</t>
  </si>
  <si>
    <t>PDC S3D</t>
  </si>
  <si>
    <t>SZA</t>
  </si>
  <si>
    <t>PDC SZA</t>
  </si>
  <si>
    <t>NOTICE ENTRETIEN</t>
  </si>
  <si>
    <t>T3F</t>
  </si>
  <si>
    <t>PDC T3F</t>
  </si>
  <si>
    <t>SAC GONFLABLE AV</t>
  </si>
  <si>
    <t>U1B</t>
  </si>
  <si>
    <t>PDC U1B</t>
  </si>
  <si>
    <t>CONDUITE ENTREE AIR</t>
  </si>
  <si>
    <t>V1B</t>
  </si>
  <si>
    <t>PDC V1B</t>
  </si>
  <si>
    <t>PDC V1C</t>
  </si>
  <si>
    <t>GROUPE CLIMATISATION – CHAUFFAGE – BOITIER DIFFUSEUR</t>
  </si>
  <si>
    <t>V2A</t>
  </si>
  <si>
    <t>PDC V2A</t>
  </si>
  <si>
    <t>COMMANDE CLIMATISATION SUPPORT</t>
  </si>
  <si>
    <t>V2B</t>
  </si>
  <si>
    <t>PDC V2B</t>
  </si>
  <si>
    <t>GROUPE SOUFFLAGE (si séparé)</t>
  </si>
  <si>
    <t>V2C</t>
  </si>
  <si>
    <t>PDC V2C</t>
  </si>
  <si>
    <t>BOITIER (si séparé)</t>
  </si>
  <si>
    <t>V2D</t>
  </si>
  <si>
    <t>PDC V2D</t>
  </si>
  <si>
    <t>AEROTHERME (si séparé)</t>
  </si>
  <si>
    <t>V2E</t>
  </si>
  <si>
    <t>PDC V2E</t>
  </si>
  <si>
    <t>REGULATION</t>
  </si>
  <si>
    <t>V2F</t>
  </si>
  <si>
    <t>PDC V2F</t>
  </si>
  <si>
    <t>GROUPE CLIMATISATION – COMMANDE</t>
  </si>
  <si>
    <t>V2G</t>
  </si>
  <si>
    <t>PDC V2G</t>
  </si>
  <si>
    <t>CONDUIT LIAISON</t>
  </si>
  <si>
    <t>V2H</t>
  </si>
  <si>
    <t>PDC V2H</t>
  </si>
  <si>
    <t>RECHAUFFEUR EAU</t>
  </si>
  <si>
    <t>V2J</t>
  </si>
  <si>
    <t>PDC V2J</t>
  </si>
  <si>
    <t>DIVERS ADTH</t>
  </si>
  <si>
    <t>ELEMENTS COMMUNS 3V2</t>
  </si>
  <si>
    <t>V2Z</t>
  </si>
  <si>
    <t>PDC V2Z</t>
  </si>
  <si>
    <t>PDC V2K</t>
  </si>
  <si>
    <t>CONDUIT AIR CLIMATISE</t>
  </si>
  <si>
    <t>V3A</t>
  </si>
  <si>
    <t>PDC V3A</t>
  </si>
  <si>
    <t>ELEMENTS COMMUNS 3V3</t>
  </si>
  <si>
    <t>V3Z</t>
  </si>
  <si>
    <t>PDC V3Z</t>
  </si>
  <si>
    <t>CONDUIT AIR FRAIS EXTERIEUR</t>
  </si>
  <si>
    <t>V3B</t>
  </si>
  <si>
    <t>PDC V3B</t>
  </si>
  <si>
    <t>EXTRACTEUR AIR PARTIE INT</t>
  </si>
  <si>
    <t>V4A</t>
  </si>
  <si>
    <t>PDC V4A</t>
  </si>
  <si>
    <t>ELEMENTS COMMUNS 3V4</t>
  </si>
  <si>
    <t>V4Z</t>
  </si>
  <si>
    <t>PDC V4Z</t>
  </si>
  <si>
    <t>EXTRACTEUR AIR PARTIE EXT</t>
  </si>
  <si>
    <t>V4B</t>
  </si>
  <si>
    <t>PDC V4B</t>
  </si>
  <si>
    <t>PDC V5A</t>
  </si>
  <si>
    <t>ELEMENTS COMMUNS 3V5</t>
  </si>
  <si>
    <t>V5Z</t>
  </si>
  <si>
    <t>PDC V5Z</t>
  </si>
  <si>
    <t>CONDUIT AIR (moteur refroidi par air)</t>
  </si>
  <si>
    <t>V5E</t>
  </si>
  <si>
    <t>PDC V5E</t>
  </si>
  <si>
    <t>CHAUFFAGE COMPLEMENTAIRE</t>
  </si>
  <si>
    <t>V6A</t>
  </si>
  <si>
    <t>PDC V6A</t>
  </si>
  <si>
    <t>REFRIGERATION COMPLEMENTAIRE</t>
  </si>
  <si>
    <t>V6B</t>
  </si>
  <si>
    <t>PDC V6B</t>
  </si>
  <si>
    <t>ELEMENTS COMMUNS 3V6</t>
  </si>
  <si>
    <t>V6Z</t>
  </si>
  <si>
    <t>PDC V6Z</t>
  </si>
  <si>
    <t>PDC V6C</t>
  </si>
  <si>
    <t>VZA</t>
  </si>
  <si>
    <t>PDC VZA</t>
  </si>
  <si>
    <t>PLAFONNIER – ECLAIREUR CARTE</t>
  </si>
  <si>
    <t>Z2K</t>
  </si>
  <si>
    <t>PDC Z2K</t>
  </si>
  <si>
    <t>ECLAIREUR COFFRE – SOUS CAPOT</t>
  </si>
  <si>
    <t>Z2L</t>
  </si>
  <si>
    <t>PDC Z2L</t>
  </si>
  <si>
    <t>ECLAIREUR HABITACLE</t>
  </si>
  <si>
    <t>Z2M</t>
  </si>
  <si>
    <t>PDC Z2M</t>
  </si>
  <si>
    <t>Eclairage habitacle</t>
  </si>
  <si>
    <t>PDC Z2S</t>
  </si>
  <si>
    <t>SIM</t>
  </si>
  <si>
    <t>SIM 73R</t>
  </si>
  <si>
    <t>LOT SYNTHESE IMPLANTATION</t>
  </si>
  <si>
    <t>97E</t>
  </si>
  <si>
    <t>SIM 97E</t>
  </si>
  <si>
    <t>SIM NR-</t>
  </si>
  <si>
    <t>SIM 0_Total</t>
  </si>
  <si>
    <t>SPO</t>
  </si>
  <si>
    <t>SPO 0_Total</t>
  </si>
  <si>
    <t>DESCRIPTION ORGANE</t>
  </si>
  <si>
    <t>96B</t>
  </si>
  <si>
    <t>SPO 96B</t>
  </si>
  <si>
    <t>LOT SYNTHESE PROJET ORGANE</t>
  </si>
  <si>
    <t>97D</t>
  </si>
  <si>
    <t>SPO 97D</t>
  </si>
  <si>
    <t>STG CHAINE DE TRACTION - FREINAGE</t>
  </si>
  <si>
    <t>98A</t>
  </si>
  <si>
    <t>SPO 98A</t>
  </si>
  <si>
    <t>STG ARCHITECTURE GROUPE MOTOPROPULSEUR</t>
  </si>
  <si>
    <t>98D</t>
  </si>
  <si>
    <t>SPO 98D</t>
  </si>
  <si>
    <t>SPO 73R</t>
  </si>
  <si>
    <t>MOTEUR COMPLET</t>
  </si>
  <si>
    <t>A71</t>
  </si>
  <si>
    <t>SPO A71</t>
  </si>
  <si>
    <t>SPO C24</t>
  </si>
  <si>
    <t>BOITE VITESSES MECANIQUE COMPLETE</t>
  </si>
  <si>
    <t>C2B</t>
  </si>
  <si>
    <t>SPO C2B</t>
  </si>
  <si>
    <t>SPO NR-</t>
  </si>
  <si>
    <t>SPR</t>
  </si>
  <si>
    <t>SPR 73R</t>
  </si>
  <si>
    <t>REBUTS</t>
  </si>
  <si>
    <t>83A</t>
  </si>
  <si>
    <t>SPR 83A</t>
  </si>
  <si>
    <t>RETOUCHE</t>
  </si>
  <si>
    <t>83B</t>
  </si>
  <si>
    <t>SPR 83B</t>
  </si>
  <si>
    <t>CADENCEMENTS</t>
  </si>
  <si>
    <t>83C</t>
  </si>
  <si>
    <t>SPR 83C</t>
  </si>
  <si>
    <t>MAGASINAGE</t>
  </si>
  <si>
    <t>83D</t>
  </si>
  <si>
    <t>SPR 83D</t>
  </si>
  <si>
    <t>APPROVISIONNEMENTS</t>
  </si>
  <si>
    <t>83E</t>
  </si>
  <si>
    <t>SPR 83E</t>
  </si>
  <si>
    <t>MANUTENTION</t>
  </si>
  <si>
    <t>83F</t>
  </si>
  <si>
    <t>SPR 83F</t>
  </si>
  <si>
    <t>SPR 83G</t>
  </si>
  <si>
    <t>NETTOYAGE – PROTECTION</t>
  </si>
  <si>
    <t>83H</t>
  </si>
  <si>
    <t>SPR 83H</t>
  </si>
  <si>
    <t>OPERATIONS COMPLEMENTAIRES</t>
  </si>
  <si>
    <t>83J</t>
  </si>
  <si>
    <t>SPR 83J</t>
  </si>
  <si>
    <t>CONTROLE CARROSSERIE</t>
  </si>
  <si>
    <t>83M</t>
  </si>
  <si>
    <t>SPR 83M</t>
  </si>
  <si>
    <t>DIRECTION QUALITE</t>
  </si>
  <si>
    <t>83N</t>
  </si>
  <si>
    <t>SPR 83N</t>
  </si>
  <si>
    <t>MISE EN CONFORMITE</t>
  </si>
  <si>
    <t>83U</t>
  </si>
  <si>
    <t>SPR 83U</t>
  </si>
  <si>
    <t>REGLAGE BOUT USINE (BU)</t>
  </si>
  <si>
    <t>83V</t>
  </si>
  <si>
    <t>SPR 83V</t>
  </si>
  <si>
    <t>REMPLISSAGES FLUIDES</t>
  </si>
  <si>
    <t>83W</t>
  </si>
  <si>
    <t>SPR 83W</t>
  </si>
  <si>
    <t>PARAMETRAGES LOGICIELS</t>
  </si>
  <si>
    <t>83X</t>
  </si>
  <si>
    <t>SPR 83X</t>
  </si>
  <si>
    <t>SPECIFICATIONS TECHNIQUES SECURITE - REGLEMENTATION</t>
  </si>
  <si>
    <t>91A</t>
  </si>
  <si>
    <t>SPR 91A</t>
  </si>
  <si>
    <t>EQUIPEMENTS PARTICULIERS MECANIQUE</t>
  </si>
  <si>
    <t>92A</t>
  </si>
  <si>
    <t>SPR 92A</t>
  </si>
  <si>
    <t>EQUIPEMENTS PARTICULIERS CARROSSERIE</t>
  </si>
  <si>
    <t>92B</t>
  </si>
  <si>
    <t>SPR 92B</t>
  </si>
  <si>
    <t>COMPLEMENT O.S.D.A (Outillages Spéciaux Direction des Achats)</t>
  </si>
  <si>
    <t>93A</t>
  </si>
  <si>
    <t>SPR 93A</t>
  </si>
  <si>
    <t>COMPLEMENT O.S.D.P. (Renouvellement Outillages Spéciaux Production)</t>
  </si>
  <si>
    <t>93B</t>
  </si>
  <si>
    <t>SPR 93B</t>
  </si>
  <si>
    <t>COMPLEMENT TRANSPORT (Interusines)</t>
  </si>
  <si>
    <t>93C</t>
  </si>
  <si>
    <t>SPR 93C</t>
  </si>
  <si>
    <t>PROVISIONS pour aléas (Provisions pour évolutions techniques (PRET))</t>
  </si>
  <si>
    <t>93D</t>
  </si>
  <si>
    <t>SPR 93D</t>
  </si>
  <si>
    <t>FACTURATION DES PRESTATIONS</t>
  </si>
  <si>
    <t>93E</t>
  </si>
  <si>
    <t>SPR 93E</t>
  </si>
  <si>
    <t>FOURNITURES MULTIFONCTIONNELLES</t>
  </si>
  <si>
    <t>94A</t>
  </si>
  <si>
    <t>SPR 94A</t>
  </si>
  <si>
    <t>LOT</t>
  </si>
  <si>
    <t>95A</t>
  </si>
  <si>
    <t>SPR 95A</t>
  </si>
  <si>
    <t>CAISSE</t>
  </si>
  <si>
    <t>95B</t>
  </si>
  <si>
    <t>SPR 95B</t>
  </si>
  <si>
    <t>CARTON</t>
  </si>
  <si>
    <t>95C</t>
  </si>
  <si>
    <t>SPR 95C</t>
  </si>
  <si>
    <t>MATIERE</t>
  </si>
  <si>
    <t>95D</t>
  </si>
  <si>
    <t>SPR 95D</t>
  </si>
  <si>
    <t>PIECE A PIECE</t>
  </si>
  <si>
    <t>95P</t>
  </si>
  <si>
    <t>SPR 95P</t>
  </si>
  <si>
    <t>DESCRIPTION VEHICULE</t>
  </si>
  <si>
    <t>96A</t>
  </si>
  <si>
    <t>SPR 96A</t>
  </si>
  <si>
    <t>LOT SYNTHESE PROJET VEHICULE</t>
  </si>
  <si>
    <t>97C</t>
  </si>
  <si>
    <t>SPR 97C</t>
  </si>
  <si>
    <t>SPR NR-</t>
  </si>
  <si>
    <t>SPR 0_Total</t>
  </si>
  <si>
    <t>STE</t>
  </si>
  <si>
    <t>STE 73R</t>
  </si>
  <si>
    <t>LOT STYLE EXTERIEUR</t>
  </si>
  <si>
    <t>97B</t>
  </si>
  <si>
    <t>STE 97B</t>
  </si>
  <si>
    <t>STE NR-</t>
  </si>
  <si>
    <t>STE 0_Total</t>
  </si>
  <si>
    <t>STI</t>
  </si>
  <si>
    <t>STI 73R</t>
  </si>
  <si>
    <t>LOT STYLE INTERIEUR</t>
  </si>
  <si>
    <t>97A</t>
  </si>
  <si>
    <t>STI 97A</t>
  </si>
  <si>
    <t>STI NR-</t>
  </si>
  <si>
    <t>STI 0_Total</t>
  </si>
  <si>
    <t>STR</t>
  </si>
  <si>
    <t>STR 0_Total</t>
  </si>
  <si>
    <t>STR 51B</t>
  </si>
  <si>
    <t>STR 51Y</t>
  </si>
  <si>
    <t>ELEMENTS COMMUNS 551</t>
  </si>
  <si>
    <t>51Z</t>
  </si>
  <si>
    <t>STR 51Z</t>
  </si>
  <si>
    <t>DEGRAISSAGE, PHOSPHATATION</t>
  </si>
  <si>
    <t>52A</t>
  </si>
  <si>
    <t>STR 52A</t>
  </si>
  <si>
    <t>ELECTROPHORESE</t>
  </si>
  <si>
    <t>52B</t>
  </si>
  <si>
    <t>STR 52B</t>
  </si>
  <si>
    <t>MASTIC CALAGE</t>
  </si>
  <si>
    <t>51C</t>
  </si>
  <si>
    <t>STR 51C</t>
  </si>
  <si>
    <t>52Y</t>
  </si>
  <si>
    <t>STR 52Y</t>
  </si>
  <si>
    <t>ELEMENTS COMMUNS 552</t>
  </si>
  <si>
    <t>52Z</t>
  </si>
  <si>
    <t>STR 52Z</t>
  </si>
  <si>
    <t>ANTIGRAVILLONNAGE RETICULE</t>
  </si>
  <si>
    <t>52D</t>
  </si>
  <si>
    <t>STR 52D</t>
  </si>
  <si>
    <t>STR 53B</t>
  </si>
  <si>
    <t>STR 53D</t>
  </si>
  <si>
    <t>PEINTURE INTM RECOUVRABLE</t>
  </si>
  <si>
    <t>53A</t>
  </si>
  <si>
    <t>STR 53A</t>
  </si>
  <si>
    <t>53F</t>
  </si>
  <si>
    <t>STR 53F</t>
  </si>
  <si>
    <t>STR 53G</t>
  </si>
  <si>
    <t>NOIR DE STYLE PEINT</t>
  </si>
  <si>
    <t>53H</t>
  </si>
  <si>
    <t>STR 53H</t>
  </si>
  <si>
    <t>IMPRESSION PHOSPHATANTE</t>
  </si>
  <si>
    <t>53J</t>
  </si>
  <si>
    <t>STR 53J</t>
  </si>
  <si>
    <t>OUTILLAGES SPECIFIQUES</t>
  </si>
  <si>
    <t>53K</t>
  </si>
  <si>
    <t>STR 53K</t>
  </si>
  <si>
    <t>53Y</t>
  </si>
  <si>
    <t>STR 53Y</t>
  </si>
  <si>
    <t>ELEMENTS COMMUNS 553</t>
  </si>
  <si>
    <t>53Z</t>
  </si>
  <si>
    <t>STR 53Z</t>
  </si>
  <si>
    <t>PROTECTION COMPARTIMENT MOTEUR</t>
  </si>
  <si>
    <t>54A</t>
  </si>
  <si>
    <t>STR 54A</t>
  </si>
  <si>
    <t>PROTECTION CORPS CREUX</t>
  </si>
  <si>
    <t>54C</t>
  </si>
  <si>
    <t>STR 54C</t>
  </si>
  <si>
    <t>PEINTURE – VERNIS FINITION</t>
  </si>
  <si>
    <t>53E</t>
  </si>
  <si>
    <t>STR 53E</t>
  </si>
  <si>
    <t>PROTECTION DESSOUS CAISSE</t>
  </si>
  <si>
    <t>54E</t>
  </si>
  <si>
    <t>STR 54E</t>
  </si>
  <si>
    <t>54Y</t>
  </si>
  <si>
    <t>STR 54Y</t>
  </si>
  <si>
    <t>ELEMENTS COMMUNS 554</t>
  </si>
  <si>
    <t>54Z</t>
  </si>
  <si>
    <t>STR 54Z</t>
  </si>
  <si>
    <t>57A</t>
  </si>
  <si>
    <t>STR 57A</t>
  </si>
  <si>
    <t>PROTECTION EXT</t>
  </si>
  <si>
    <t>57B</t>
  </si>
  <si>
    <t>STR 57B</t>
  </si>
  <si>
    <t>PIECES PROTECTION</t>
  </si>
  <si>
    <t>57C</t>
  </si>
  <si>
    <t>STR 57C</t>
  </si>
  <si>
    <t>57Y</t>
  </si>
  <si>
    <t>STR 57Y</t>
  </si>
  <si>
    <t>ELEMENTS COMMUNS 557</t>
  </si>
  <si>
    <t>57Z</t>
  </si>
  <si>
    <t>STR 57Z</t>
  </si>
  <si>
    <t>ELEMENTS COMMUNS 55</t>
  </si>
  <si>
    <t>5ZA</t>
  </si>
  <si>
    <t>STR 5ZA</t>
  </si>
  <si>
    <t>ANTIGRAVILLONNAGE NON RETICULE</t>
  </si>
  <si>
    <t>54D</t>
  </si>
  <si>
    <t>STR 54D</t>
  </si>
  <si>
    <t>STR 83G</t>
  </si>
  <si>
    <t>STR 73R</t>
  </si>
  <si>
    <t>Fixation non utilisée</t>
  </si>
  <si>
    <t>STR D11</t>
  </si>
  <si>
    <t>IDENTIFICATION CAISSE</t>
  </si>
  <si>
    <t>K1A</t>
  </si>
  <si>
    <t>STR K1A</t>
  </si>
  <si>
    <t>INFORMATIONS CAISSE</t>
  </si>
  <si>
    <t>K1B</t>
  </si>
  <si>
    <t>STR K1B</t>
  </si>
  <si>
    <t>ELEMENT MONOBLOC SOUBASSEMENT</t>
  </si>
  <si>
    <t>K2A</t>
  </si>
  <si>
    <t>STR K2A</t>
  </si>
  <si>
    <t>PLANCHER AV</t>
  </si>
  <si>
    <t>K2B</t>
  </si>
  <si>
    <t>STR K2B</t>
  </si>
  <si>
    <t>STR K2C</t>
  </si>
  <si>
    <t>PLANCHER CHARGEMENT</t>
  </si>
  <si>
    <t>K2D</t>
  </si>
  <si>
    <t>STR K2D</t>
  </si>
  <si>
    <t>ELEMENTS COMMUNS 2K2</t>
  </si>
  <si>
    <t>K2Z</t>
  </si>
  <si>
    <t>STR K2Z</t>
  </si>
  <si>
    <t>HABILLAGE SOUS CAISSE</t>
  </si>
  <si>
    <t>K2E</t>
  </si>
  <si>
    <t>STR K2E</t>
  </si>
  <si>
    <t>TABLIER – AUVENT</t>
  </si>
  <si>
    <t>K3A</t>
  </si>
  <si>
    <t>STR K3A</t>
  </si>
  <si>
    <t>DOUBLURE AILE AV – PASSAGE ROUE</t>
  </si>
  <si>
    <t>K3B</t>
  </si>
  <si>
    <t>STR K3B</t>
  </si>
  <si>
    <t>STR K3D</t>
  </si>
  <si>
    <t>SUPPORT ROUE SECOURS</t>
  </si>
  <si>
    <t>K3G</t>
  </si>
  <si>
    <t>STR K3G</t>
  </si>
  <si>
    <t>STR K3H</t>
  </si>
  <si>
    <t>ELEMENTS COMMUNS 2K3</t>
  </si>
  <si>
    <t>K3Z</t>
  </si>
  <si>
    <t>STR K3Z</t>
  </si>
  <si>
    <t>PASSAGE ROUE (SI AMOVIBLE)</t>
  </si>
  <si>
    <t>K3J</t>
  </si>
  <si>
    <t>STR K3J</t>
  </si>
  <si>
    <t>PIED</t>
  </si>
  <si>
    <t>K4A</t>
  </si>
  <si>
    <t>STR K4A</t>
  </si>
  <si>
    <t>LONGERON</t>
  </si>
  <si>
    <t>K4B</t>
  </si>
  <si>
    <t>STR K4B</t>
  </si>
  <si>
    <t>ARC PAVILLON</t>
  </si>
  <si>
    <t>K4C</t>
  </si>
  <si>
    <t>STR K4C</t>
  </si>
  <si>
    <t>RIDELLE PLATEAU – ELEMENTS COMPLEMENTAIRES</t>
  </si>
  <si>
    <t>K4D</t>
  </si>
  <si>
    <t>STR K4D</t>
  </si>
  <si>
    <t>AILE AR – CUSTODE</t>
  </si>
  <si>
    <t>K4E</t>
  </si>
  <si>
    <t>STR K4E</t>
  </si>
  <si>
    <t>DOUBLURE AILE AR – CUSTODE – PASSAGE ROUE</t>
  </si>
  <si>
    <t>K4F</t>
  </si>
  <si>
    <t>STR K4F</t>
  </si>
  <si>
    <t>COTE MONOBLOC</t>
  </si>
  <si>
    <t>K4G</t>
  </si>
  <si>
    <t>STR K4G</t>
  </si>
  <si>
    <t>ELEMENTS COMMUNS 2K4</t>
  </si>
  <si>
    <t>K4Z</t>
  </si>
  <si>
    <t>STR K4Z</t>
  </si>
  <si>
    <t>K4H</t>
  </si>
  <si>
    <t>STR K4H</t>
  </si>
  <si>
    <t>CLOISON HABITACLE – TABLETTE AR</t>
  </si>
  <si>
    <t>K5A</t>
  </si>
  <si>
    <t>STR K5A</t>
  </si>
  <si>
    <t>JUPE AR</t>
  </si>
  <si>
    <t>K5B</t>
  </si>
  <si>
    <t>STR K5B</t>
  </si>
  <si>
    <t>STR K5C</t>
  </si>
  <si>
    <t>ELEMENTS COMMUNS 2K5</t>
  </si>
  <si>
    <t>K5Z</t>
  </si>
  <si>
    <t>STR K5Z</t>
  </si>
  <si>
    <t>ENTREE VOLET AR</t>
  </si>
  <si>
    <t>K5D</t>
  </si>
  <si>
    <t>STR K5D</t>
  </si>
  <si>
    <t>BAIE</t>
  </si>
  <si>
    <t>K6A</t>
  </si>
  <si>
    <t>STR K6A</t>
  </si>
  <si>
    <t>PAVILLON</t>
  </si>
  <si>
    <t>K6B</t>
  </si>
  <si>
    <t>STR K6B</t>
  </si>
  <si>
    <t>LUNETTE AR</t>
  </si>
  <si>
    <t>K6C</t>
  </si>
  <si>
    <t>STR K6C</t>
  </si>
  <si>
    <t>ELEMENTS COMMUNS 2K6</t>
  </si>
  <si>
    <t>K6Z</t>
  </si>
  <si>
    <t>STR K6Z</t>
  </si>
  <si>
    <t>ARCEAU – RAIDISSEUR SECURITE</t>
  </si>
  <si>
    <t>K6D</t>
  </si>
  <si>
    <t>STR K6D</t>
  </si>
  <si>
    <t>ELEMENTS COMMUNS 2K8</t>
  </si>
  <si>
    <t>K8Z</t>
  </si>
  <si>
    <t>STR K8Z</t>
  </si>
  <si>
    <t>TRAPPE</t>
  </si>
  <si>
    <t>K7E</t>
  </si>
  <si>
    <t>STR K7E</t>
  </si>
  <si>
    <t>MONTAGE FINITION CAISSE</t>
  </si>
  <si>
    <t>KZA</t>
  </si>
  <si>
    <t>STR KZA</t>
  </si>
  <si>
    <t>CHASSIS</t>
  </si>
  <si>
    <t>M1A</t>
  </si>
  <si>
    <t>STR M1A</t>
  </si>
  <si>
    <t>OUVERTURE FERMETURE TRAPPES EXT</t>
  </si>
  <si>
    <t>N2C</t>
  </si>
  <si>
    <t>STR N2C</t>
  </si>
  <si>
    <t>STR N2D</t>
  </si>
  <si>
    <t>STR NR-</t>
  </si>
  <si>
    <t>ENJOLIVEUR PAVILLON</t>
  </si>
  <si>
    <t>R3C</t>
  </si>
  <si>
    <t>STR R3C</t>
  </si>
  <si>
    <t>STR R3D</t>
  </si>
  <si>
    <t>ENJOLIVEUR BAS CAISSE – ENTREE PORTE</t>
  </si>
  <si>
    <t>R3E</t>
  </si>
  <si>
    <t>STR R3E</t>
  </si>
  <si>
    <t>ENJOLIVEUR ENTREE – SORTIE AIR</t>
  </si>
  <si>
    <t>R3H</t>
  </si>
  <si>
    <t>STR R3H</t>
  </si>
  <si>
    <t>CACHE ROUE SECOURS</t>
  </si>
  <si>
    <t>R3Q</t>
  </si>
  <si>
    <t>STR R3Q</t>
  </si>
  <si>
    <t>ENJOLIVEUR COMPARTIMENT MOTEUR</t>
  </si>
  <si>
    <t>R3T</t>
  </si>
  <si>
    <t>STR R3T</t>
  </si>
  <si>
    <t>PORTE-BAGAGES – ECHELLE</t>
  </si>
  <si>
    <t>R5E</t>
  </si>
  <si>
    <t>STR R5E</t>
  </si>
  <si>
    <t>BARRE TOIT</t>
  </si>
  <si>
    <t>ATTACHE REMORQUE</t>
  </si>
  <si>
    <t>R5G</t>
  </si>
  <si>
    <t>STR R5G</t>
  </si>
  <si>
    <t>ATTELAGE</t>
  </si>
  <si>
    <t>Système crochet d attelage / Porte vélo</t>
  </si>
  <si>
    <t>BAVETTE ROUE</t>
  </si>
  <si>
    <t>R5H</t>
  </si>
  <si>
    <t>STR R5H</t>
  </si>
  <si>
    <t>MARCHEPIED</t>
  </si>
  <si>
    <t>R5J</t>
  </si>
  <si>
    <t>STR R5J</t>
  </si>
  <si>
    <t>ELEMENTS COMMUNS 3R5</t>
  </si>
  <si>
    <t>R5Z</t>
  </si>
  <si>
    <t>STR R5Z</t>
  </si>
  <si>
    <t>TREUIL</t>
  </si>
  <si>
    <t>R5N</t>
  </si>
  <si>
    <t>STR R5N</t>
  </si>
  <si>
    <t>RZA</t>
  </si>
  <si>
    <t>STR RZA</t>
  </si>
  <si>
    <t>STR T3E</t>
  </si>
  <si>
    <t>PLAQUE CONSTRUCTEUR – COMPLEMENTAIRE</t>
  </si>
  <si>
    <t>T3G</t>
  </si>
  <si>
    <t>STR T3G</t>
  </si>
  <si>
    <t>STR T3J</t>
  </si>
  <si>
    <t>STR T3M</t>
  </si>
  <si>
    <t>GRILLE ENTREE AIR</t>
  </si>
  <si>
    <t>V1A</t>
  </si>
  <si>
    <t>STR V1A</t>
  </si>
  <si>
    <t>ELEMENTS COMMUNS 3V1</t>
  </si>
  <si>
    <t>V1Z</t>
  </si>
  <si>
    <t>STR V1Z</t>
  </si>
  <si>
    <t>STR V1C</t>
  </si>
  <si>
    <t>STR W2A</t>
  </si>
  <si>
    <t>JOINT TRAPPES EXT</t>
  </si>
  <si>
    <t>W3C</t>
  </si>
  <si>
    <t>STR W3C</t>
  </si>
  <si>
    <t>ETANCHEITE ENTRE CALANDRE – CAISSE</t>
  </si>
  <si>
    <t>W4A</t>
  </si>
  <si>
    <t>STR W4A</t>
  </si>
  <si>
    <t>PLAQUETTE – OBTURATEUR – BUTEE – ADHESIF (CAISSE)</t>
  </si>
  <si>
    <t>X6A</t>
  </si>
  <si>
    <t>STR X6A</t>
  </si>
  <si>
    <t>PLAQUE THERMOFUSIBLE – AMORTISSANT (CAISSE)</t>
  </si>
  <si>
    <t>X6C</t>
  </si>
  <si>
    <t>STR X6C</t>
  </si>
  <si>
    <t>CARBURANT</t>
  </si>
  <si>
    <t>Supports GMP</t>
  </si>
  <si>
    <t>Système de refroidissement par huile</t>
  </si>
  <si>
    <t>Avant gauche (ancien process)</t>
  </si>
  <si>
    <t>Avant droite (ancien process)</t>
  </si>
  <si>
    <t>Fixations ISOFIX</t>
  </si>
  <si>
    <t>Système batterie 12V</t>
  </si>
  <si>
    <t>HUILE BOITE</t>
  </si>
  <si>
    <t>Renfort de caisse</t>
  </si>
  <si>
    <t>Tablier coté conducteur / unique</t>
  </si>
  <si>
    <t>Tablier coté passager</t>
  </si>
  <si>
    <t>Bac de rangement arrière 1</t>
  </si>
  <si>
    <t>Système toit ouvrant</t>
  </si>
  <si>
    <t>Toit panoramique</t>
  </si>
  <si>
    <t>Vitre de toit</t>
  </si>
  <si>
    <t>Garnitures latérales</t>
  </si>
  <si>
    <t>Partie supérieure</t>
  </si>
  <si>
    <t>Garniture arrière 1</t>
  </si>
  <si>
    <t>Supports</t>
  </si>
  <si>
    <t>Instrumentation</t>
  </si>
  <si>
    <t>Cendrier</t>
  </si>
  <si>
    <t>Rangement avant</t>
  </si>
  <si>
    <t>Rangement central</t>
  </si>
  <si>
    <t>Rangement arrière (accoudoir)</t>
  </si>
  <si>
    <t>Rangement rang 2</t>
  </si>
  <si>
    <t>Garniture avant</t>
  </si>
  <si>
    <t>Garniture arrière</t>
  </si>
  <si>
    <t>Aérateur</t>
  </si>
  <si>
    <t>Support aerateur</t>
  </si>
  <si>
    <t>Enjoliveur aerateur</t>
  </si>
  <si>
    <t>Porte gobelets</t>
  </si>
  <si>
    <t>Système support téléphone</t>
  </si>
  <si>
    <t>Système poignée</t>
  </si>
  <si>
    <t>Accoudoir</t>
  </si>
  <si>
    <t>Seconde garniture avant</t>
  </si>
  <si>
    <t>Support de prise accessoire</t>
  </si>
  <si>
    <t>Renfort</t>
  </si>
  <si>
    <t>Filet de rangement</t>
  </si>
  <si>
    <t>Système frein a main</t>
  </si>
  <si>
    <t>Garniture arriere d accoudoir</t>
  </si>
  <si>
    <t>Commande de déverrouillage de console centrale</t>
  </si>
  <si>
    <t>Système rails de guidage</t>
  </si>
  <si>
    <t>Padding</t>
  </si>
  <si>
    <t>Porte pieces</t>
  </si>
  <si>
    <t>Support porte pièces</t>
  </si>
  <si>
    <t>Enjoliveur de commande avant</t>
  </si>
  <si>
    <t>Système de déverrouillage</t>
  </si>
  <si>
    <t>Porte carte</t>
  </si>
  <si>
    <t>Système ventilation</t>
  </si>
  <si>
    <t>Support de faisceau 1</t>
  </si>
  <si>
    <t>Système éclairage d'ambiance</t>
  </si>
  <si>
    <t>Enjoliveur avant</t>
  </si>
  <si>
    <t>Enjoliveur arrière</t>
  </si>
  <si>
    <t>Seconde garniture arrière</t>
  </si>
  <si>
    <t>Cache prise diagnostique</t>
  </si>
  <si>
    <t>Cache fixations</t>
  </si>
  <si>
    <t>Second cache fixations</t>
  </si>
  <si>
    <t>Butée amortissement</t>
  </si>
  <si>
    <t>Enjoliveur de fixation côté gauche</t>
  </si>
  <si>
    <t>Enjoliveur de fixation côté droit</t>
  </si>
  <si>
    <t>Receptacle clé</t>
  </si>
  <si>
    <t>Cache prise HT</t>
  </si>
  <si>
    <t>Support de connecteur electrique</t>
  </si>
  <si>
    <t>Trappe accès frein de parc</t>
  </si>
  <si>
    <t>Système audio 1</t>
  </si>
  <si>
    <t>Second enjoliveur aérateur</t>
  </si>
  <si>
    <t>Rangement latérale</t>
  </si>
  <si>
    <t>2eme aerateur</t>
  </si>
  <si>
    <t>Commande aerateur</t>
  </si>
  <si>
    <t>Eclairage commande d'event</t>
  </si>
  <si>
    <t>Support Commande aerateur</t>
  </si>
  <si>
    <t>Système Crochet</t>
  </si>
  <si>
    <t>Repose main</t>
  </si>
  <si>
    <t>Habillage inférieur</t>
  </si>
  <si>
    <t>Purificateur d'air</t>
  </si>
  <si>
    <t>Receptacle purificateur d'air</t>
  </si>
  <si>
    <t>Filtre purificateur d'air</t>
  </si>
  <si>
    <t>Support filtre purificateur d'air</t>
  </si>
  <si>
    <t>Eclairage factice</t>
  </si>
  <si>
    <t>Système barre de direction</t>
  </si>
  <si>
    <t>Réservoir de liquide de direction assistée</t>
  </si>
  <si>
    <t>Conduit de retour assistance</t>
  </si>
  <si>
    <t>Conduit de pression assistance</t>
  </si>
  <si>
    <t>Système groupe électro-pompe</t>
  </si>
  <si>
    <t>Système assistance électrique</t>
  </si>
  <si>
    <t>Pompe de direction assistée</t>
  </si>
  <si>
    <t>Support de faisceau</t>
  </si>
  <si>
    <t>Conduit d alimentation</t>
  </si>
  <si>
    <t>Cache trou conduite inversée</t>
  </si>
  <si>
    <t>Liquide de direction assistée</t>
  </si>
  <si>
    <t>Démarreur</t>
  </si>
  <si>
    <t>Protection démarreur</t>
  </si>
  <si>
    <t>ANNEAU REMORQUAGE</t>
  </si>
  <si>
    <t>Tampon de positionnement de cric</t>
  </si>
  <si>
    <t>Support non utilisé</t>
  </si>
  <si>
    <t>Second support non utilisé</t>
  </si>
  <si>
    <t>Troisième support non utilisé</t>
  </si>
  <si>
    <t>Quatrième support non utilisé</t>
  </si>
  <si>
    <t>Ecran de protection sous caisse</t>
  </si>
  <si>
    <t>Deflecteur supérieur</t>
  </si>
  <si>
    <t>Support / Enjoliveur numero chassis</t>
  </si>
  <si>
    <t>Bac de rangement arrière</t>
  </si>
  <si>
    <t>Support bac de rangement arriere</t>
  </si>
  <si>
    <t>2eme fixation non utilisée</t>
  </si>
  <si>
    <t>3eme fixation non utilisée</t>
  </si>
  <si>
    <t>Système zone de chargement</t>
  </si>
  <si>
    <t>Sortie de secours sur toit</t>
  </si>
  <si>
    <t>Système audio 2</t>
  </si>
  <si>
    <t>Capteurs</t>
  </si>
  <si>
    <t>Système audio 3</t>
  </si>
  <si>
    <t>Système internet</t>
  </si>
  <si>
    <t>Système video</t>
  </si>
  <si>
    <t>Système aide au stationnement</t>
  </si>
  <si>
    <t>Système régulateur/avertisseur de distance</t>
  </si>
  <si>
    <t>Système suivi de ligne</t>
  </si>
  <si>
    <t>Systeme surveillance de pression des pneus</t>
  </si>
  <si>
    <t>Système modularité electrique</t>
  </si>
  <si>
    <t>Système caméra nocturne</t>
  </si>
  <si>
    <t>Buzzer oubli extinction éclairage</t>
  </si>
  <si>
    <t>Bip sonore verrouillage deverrouillage des portes</t>
  </si>
  <si>
    <t>Systeme detection angle mort</t>
  </si>
  <si>
    <t>Systeme city safety</t>
  </si>
  <si>
    <t>Système activation sonore piéton</t>
  </si>
  <si>
    <t>Système ouverture coffre par detection pieds</t>
  </si>
  <si>
    <t>Système de contôle avec téléphone / NFC</t>
  </si>
  <si>
    <t>UCE Système d'unité centrale électrique</t>
  </si>
  <si>
    <t>Contacteurs ouverture</t>
  </si>
  <si>
    <t>Système alimentation avant</t>
  </si>
  <si>
    <t>Système gestion fermeture centralisée</t>
  </si>
  <si>
    <t>Système prechauffage</t>
  </si>
  <si>
    <t>Système support de connecteurs</t>
  </si>
  <si>
    <t>Schemas electriques</t>
  </si>
  <si>
    <t>Système ESP</t>
  </si>
  <si>
    <t>Interrupteur de feux de détresse</t>
  </si>
  <si>
    <t>Récepteur satellite</t>
  </si>
  <si>
    <t>Commande d ouverture</t>
  </si>
  <si>
    <t>Récepteur commande radio</t>
  </si>
  <si>
    <t>Système amplification de son moteur</t>
  </si>
  <si>
    <t>Système de recharge sans fil (telephone)</t>
  </si>
  <si>
    <t>Système video surveillance 360°</t>
  </si>
  <si>
    <t>Antenne main libre</t>
  </si>
  <si>
    <t>Support bip sonore verrouillage des portes</t>
  </si>
  <si>
    <t>Support buzzer oubli extinction éclairage</t>
  </si>
  <si>
    <t>System de surveillance interieur</t>
  </si>
  <si>
    <t>Système conduite autonome</t>
  </si>
  <si>
    <t>Systeme communication Wifi entre vehicule</t>
  </si>
  <si>
    <t>Enregistreur video</t>
  </si>
  <si>
    <t>Pièce process usine</t>
  </si>
  <si>
    <t>Systeme de robot intelligent</t>
  </si>
  <si>
    <t>System rétroviseur intérieur intelligent</t>
  </si>
  <si>
    <t>Ordinateur de bord</t>
  </si>
  <si>
    <t>Support relais</t>
  </si>
  <si>
    <t>Système de connexion Câble borne + vers boitier distribution arrière</t>
  </si>
  <si>
    <t>Système alerte sonore piéton</t>
  </si>
  <si>
    <t>Système crochets d arrimage</t>
  </si>
  <si>
    <t>Eclairage d'ambiance</t>
  </si>
  <si>
    <t>Système faux plancher/padding</t>
  </si>
  <si>
    <t>Trousse de secours</t>
  </si>
  <si>
    <t>Support de trousse de secours</t>
  </si>
  <si>
    <t>Support extincteur</t>
  </si>
  <si>
    <t>Rideau pare soleil</t>
  </si>
  <si>
    <t>Pare soleil custode</t>
  </si>
  <si>
    <t>Coussin</t>
  </si>
  <si>
    <t>Gaz bonbonne air</t>
  </si>
  <si>
    <t>AB AV</t>
  </si>
  <si>
    <t>Ecrans aérodynamiques</t>
  </si>
  <si>
    <t>Déflecteurs sous caisse</t>
  </si>
  <si>
    <t>LIQUIDE LAVE GLACE</t>
  </si>
  <si>
    <t>Module avant/refroidissement</t>
  </si>
  <si>
    <t>Câble de masse</t>
  </si>
  <si>
    <t>Système guide de faisceau</t>
  </si>
  <si>
    <t>Protection de faisceau</t>
  </si>
  <si>
    <t>CABLES HT</t>
  </si>
  <si>
    <t>DIVERS FAISCEAUX</t>
  </si>
  <si>
    <t>Système de carburation essence</t>
  </si>
  <si>
    <t>Système de carburation Diesel</t>
  </si>
  <si>
    <t>Culasse</t>
  </si>
  <si>
    <t>Système embiellage</t>
  </si>
  <si>
    <t>Système de distribution</t>
  </si>
  <si>
    <t>Système de lubrification</t>
  </si>
  <si>
    <t>Système de refroidissement</t>
  </si>
  <si>
    <t>Système suralimentation</t>
  </si>
  <si>
    <t>Cache style</t>
  </si>
  <si>
    <t>Système insonorisation</t>
  </si>
  <si>
    <t>Moteur complet</t>
  </si>
  <si>
    <t>Moteur nu</t>
  </si>
  <si>
    <t>Ensemble moteur/boite</t>
  </si>
  <si>
    <t>Renfort liaison moteur/boite (avant ou unique)</t>
  </si>
  <si>
    <t>Renfort arrière liaison moteur/boite (ou second)</t>
  </si>
  <si>
    <t>Huile moteur</t>
  </si>
  <si>
    <t>Huile de différentiel arrière</t>
  </si>
  <si>
    <t>Huile de différentiel avant/renvoi</t>
  </si>
  <si>
    <t>Huile embrayage piloté</t>
  </si>
  <si>
    <t>Ensemble moteur/boite/train</t>
  </si>
  <si>
    <t>Ensemble moteur/boite/train avant/face avant</t>
  </si>
  <si>
    <t>Huile moteur electrique avant</t>
  </si>
  <si>
    <t>INSONO CC</t>
  </si>
  <si>
    <t>INSONO CONSOLE</t>
  </si>
  <si>
    <t>INSONO PAVILLON</t>
  </si>
  <si>
    <t>INSONO PLANCHER</t>
  </si>
  <si>
    <t>INSONO ZONE COFFRE</t>
  </si>
  <si>
    <t>DIRECTION AR</t>
  </si>
  <si>
    <t>Support enjoliveur latéraux</t>
  </si>
  <si>
    <t>Guide de pare-brise</t>
  </si>
  <si>
    <t>Pare brise unit</t>
  </si>
  <si>
    <t>Enjoliveur supérieur</t>
  </si>
  <si>
    <t>Systeme de pare brise basculant</t>
  </si>
  <si>
    <t>EQUIPEMENT PORTE AR G</t>
  </si>
  <si>
    <t>TOLERIE PORTE AR G</t>
  </si>
  <si>
    <t>VITRAGE PORTE AR G</t>
  </si>
  <si>
    <t>PORTE AR D COMPLETE</t>
  </si>
  <si>
    <t>EQUIPEMENT PORTE AV G</t>
  </si>
  <si>
    <t>TOLERIE PORTE AV G</t>
  </si>
  <si>
    <t>VITRAGE PORTE AV G</t>
  </si>
  <si>
    <t>PORTE AV D COMPLETE</t>
  </si>
  <si>
    <t>Traverse arrière</t>
  </si>
  <si>
    <t>Seconde traverse arrière</t>
  </si>
  <si>
    <t>Systeme traverse supérieure</t>
  </si>
  <si>
    <t>SURTAPIS</t>
  </si>
  <si>
    <t>Joint lunette arrière</t>
  </si>
  <si>
    <t>SPECIFIQUE PICK-UP</t>
  </si>
  <si>
    <t>Système châssis</t>
  </si>
  <si>
    <t>Marchepieds</t>
  </si>
  <si>
    <t>Système pick up</t>
  </si>
  <si>
    <t>Volet inferieur</t>
  </si>
  <si>
    <t>Outil de référence WGHT : Outil_eval_CdG_V1.0.xlsx (00987_19_00164)</t>
  </si>
  <si>
    <t>Problème à traiter :</t>
  </si>
  <si>
    <t>Qui a rencontré / Quand :</t>
  </si>
  <si>
    <t>Action de progrès :</t>
  </si>
  <si>
    <t>Pilote / Quand :</t>
  </si>
  <si>
    <t>Avancement :</t>
  </si>
  <si>
    <r>
      <t>Problème :</t>
    </r>
    <r>
      <rPr>
        <sz val="11"/>
        <rFont val="Calibri"/>
        <family val="2"/>
      </rPr>
      <t xml:space="preserve"> Importantes variations de x/z cdg (de l’ordre de 20mm en Z) entre les estimations AVP au JAP, les remontages RdfnU, puis TKO sur les silhouettes P64 (Bev principalement).</t>
    </r>
  </si>
  <si>
    <t>Grégory / Yvan / Thierry</t>
  </si>
  <si>
    <r>
      <t>Quoi :</t>
    </r>
    <r>
      <rPr>
        <sz val="11"/>
        <rFont val="Calibri"/>
        <family val="2"/>
      </rPr>
      <t xml:space="preserve"> Robustifier les hypothèses de positionnement des masses des sous-système :</t>
    </r>
  </si>
  <si>
    <t>Gilles / août-22</t>
  </si>
  <si>
    <t>10/08/2022 :
- Revue globale de l'outil réalisée (correction erreurs formules, réaffectation de sous-systèmes, adaptation des facteurs de positionnement des Cdg).
- Test réalisé pour un P64 BEV AWD Level3 à partir du fichier de remontage numérique MCI_SS_ENS_P64_TKO_BEV_AWD_LEVEL3_V3.xlsm (docinfo : 00987_22_00103).
--&gt; Résultats obtenus :
   - MAV : 2262,3kg (2263,2mm au remontage num)
   - X CdG : 1238mm (1221mm au remontage num) --&gt; Attention Cdg à 1330mm dans Cas deCahrge P64.
   - Y Cdg : -3,5mm (-3,7mm au remontagenum )
   - Z cdg : 246,7mm (245,6mm dau remontage num)</t>
  </si>
  <si>
    <t>Causes identifiées :</t>
  </si>
  <si>
    <t>Comment :</t>
  </si>
  <si>
    <t>1) Trop d’écarts entre le véhicule à estimer (P64 Bev) et le véhicule de référence (P84 ICE). Manque de retex/connaissance pour correctement estimer les briques du cascading en AVP.</t>
  </si>
  <si>
    <r>
      <t xml:space="preserve">- Tester l’outil avec un P64 BEV AWD </t>
    </r>
    <r>
      <rPr>
        <sz val="11"/>
        <rFont val="Wingdings"/>
        <charset val="2"/>
      </rPr>
      <t>à</t>
    </r>
    <r>
      <rPr>
        <sz val="11"/>
        <rFont val="Calibri"/>
        <family val="2"/>
      </rPr>
      <t xml:space="preserve"> Injecter les valeurs du 1/5</t>
    </r>
    <r>
      <rPr>
        <vertAlign val="superscript"/>
        <sz val="11"/>
        <rFont val="Calibri"/>
        <family val="2"/>
      </rPr>
      <t>ième</t>
    </r>
    <r>
      <rPr>
        <sz val="11"/>
        <rFont val="Calibri"/>
        <family val="2"/>
      </rPr>
      <t xml:space="preserve"> + DEC5 + positions issues des remontages numériques TKO.</t>
    </r>
  </si>
  <si>
    <t>2) Les hypothèses utilisées par l’outil (positionnement par lot) ne sont pas nécessairement ‘juste’.</t>
  </si>
  <si>
    <t>- Analyser les écarts et corriger les positionnements des CDG</t>
  </si>
  <si>
    <t>- Compléter la liste des inputs si nécessaire.</t>
  </si>
  <si>
    <r>
      <t>Problème :</t>
    </r>
    <r>
      <rPr>
        <sz val="11"/>
        <rFont val="Calibri"/>
        <family val="2"/>
      </rPr>
      <t xml:space="preserve"> Le contenu de chaque découpage utilisé dans l’outil n’est pas toujours explicite et trivial à interpréter </t>
    </r>
    <r>
      <rPr>
        <sz val="11"/>
        <rFont val="Wingdings"/>
        <charset val="2"/>
      </rPr>
      <t>à</t>
    </r>
    <r>
      <rPr>
        <sz val="11"/>
        <rFont val="Calibri"/>
        <family val="2"/>
      </rPr>
      <t xml:space="preserve"> Risque d’erreur d’interprétation.</t>
    </r>
  </si>
  <si>
    <r>
      <t>Quoi :</t>
    </r>
    <r>
      <rPr>
        <sz val="11"/>
        <rFont val="Calibri"/>
        <family val="2"/>
      </rPr>
      <t xml:space="preserve"> Clarifier le contenu de chaque sous-système A2MAC1 utilisé dans l’outils AVP.</t>
    </r>
  </si>
  <si>
    <r>
      <t xml:space="preserve">12/08/2022 :
- Copie du dictionnaire DEC5 &lt;--&gt; A2MAC1 intégré dans l'outil. Avec rappel lien vers version officielle.
- </t>
    </r>
    <r>
      <rPr>
        <u/>
        <sz val="11"/>
        <rFont val="Calibri"/>
        <family val="2"/>
      </rPr>
      <t>Reste à faire :</t>
    </r>
    <r>
      <rPr>
        <sz val="11"/>
        <rFont val="Calibri"/>
        <family val="2"/>
      </rPr>
      <t xml:space="preserve">
1) Reprendre la table de l'onglet 'INPUTS 2' afin qu'elle soit strictement identique au Bookmark MICV A2MAC1.  --&gt; Voir nécessité.
2) Ajouter liste des DEC5 en face de chaque sous-système.</t>
    </r>
  </si>
  <si>
    <r>
      <t xml:space="preserve">- Mettre à disposition dans l’outil la table d’équivalence construite pour l’outil Benchmark </t>
    </r>
    <r>
      <rPr>
        <sz val="11"/>
        <rFont val="Wingdings"/>
        <charset val="2"/>
      </rPr>
      <t>à</t>
    </r>
    <r>
      <rPr>
        <sz val="11"/>
        <rFont val="Calibri"/>
        <family val="2"/>
      </rPr>
      <t xml:space="preserve"> Clairement notifier le lien vers la table de référence à jour dans l’outil Bench.</t>
    </r>
  </si>
  <si>
    <t>- Etudier faisabilité / Utilité de lister les codes découpage xPSA en face de chaque ligne de l’onglet ‘Evaluation’</t>
  </si>
  <si>
    <r>
      <t>Problème :</t>
    </r>
    <r>
      <rPr>
        <sz val="11"/>
        <rFont val="Calibri"/>
        <family val="2"/>
      </rPr>
      <t xml:space="preserve"> Il est nécessaire re remplir manuellement toutes les masses des sous-systèmes lorsque le veh de réf n’a pas été démonté par A2MAC1.</t>
    </r>
  </si>
  <si>
    <r>
      <t>Quoi :</t>
    </r>
    <r>
      <rPr>
        <sz val="11"/>
        <rFont val="Calibri"/>
        <family val="2"/>
      </rPr>
      <t xml:space="preserve"> Permettre d’injecter directement dans l’onglet Evaluation les masses converties d’un DEC5 vers un découpage A2MAC1.</t>
    </r>
  </si>
  <si>
    <t>Olivier + Laurent</t>
  </si>
  <si>
    <r>
      <t xml:space="preserve">- Compléter la matrice d’équivalence DEC5 </t>
    </r>
    <r>
      <rPr>
        <sz val="11"/>
        <rFont val="Wingdings"/>
        <charset val="2"/>
      </rPr>
      <t>à</t>
    </r>
    <r>
      <rPr>
        <sz val="11"/>
        <rFont val="Calibri"/>
        <family val="2"/>
      </rPr>
      <t xml:space="preserve"> A2MAC1 pour intégrer les niveaux 3 et 4 (quand nécessaire).</t>
    </r>
  </si>
  <si>
    <r>
      <t xml:space="preserve">- Gérer dans l’outil Bench deux tableaux de sortie DEC5 </t>
    </r>
    <r>
      <rPr>
        <sz val="11"/>
        <rFont val="Wingdings"/>
        <charset val="2"/>
      </rPr>
      <t>à</t>
    </r>
    <r>
      <rPr>
        <sz val="11"/>
        <rFont val="Calibri"/>
        <family val="2"/>
      </rPr>
      <t xml:space="preserve"> A2MAC1 (1 avec les niveaux 1 et 2, l’autre avec les niveaux 1 à 4).</t>
    </r>
  </si>
  <si>
    <r>
      <t>Problème :</t>
    </r>
    <r>
      <rPr>
        <sz val="11"/>
        <rFont val="Calibri"/>
        <family val="2"/>
      </rPr>
      <t xml:space="preserve"> Le calcul des MNS est ‘caché’, nécessite de rigoureusement détailler les masses des sous-systèmes.</t>
    </r>
  </si>
  <si>
    <r>
      <t>Quoi :</t>
    </r>
    <r>
      <rPr>
        <sz val="11"/>
        <rFont val="Calibri"/>
        <family val="2"/>
      </rPr>
      <t xml:space="preserve"> Mettre en évidence les inputs utilisées pour calculer les MNS et visualiser les écarts avec le véhicule de référence.</t>
    </r>
  </si>
  <si>
    <t>10/08/2022 :
- Traité.
- Intégré dans fichier version docinfo à partir de v2.0.</t>
  </si>
  <si>
    <r>
      <t>Problèmes :</t>
    </r>
    <r>
      <rPr>
        <sz val="11"/>
        <rFont val="Calibri"/>
        <family val="2"/>
      </rPr>
      <t xml:space="preserve"> Le contrôle de la justesse des MNS sorties par l’outil n’est pas ‘instantané’.</t>
    </r>
  </si>
  <si>
    <r>
      <t xml:space="preserve">Comment : </t>
    </r>
    <r>
      <rPr>
        <sz val="11"/>
        <rFont val="Calibri"/>
        <family val="2"/>
      </rPr>
      <t xml:space="preserve">
- Remettre en forme et rendre visible le calcul des MNS.</t>
    </r>
  </si>
  <si>
    <t>- Reprendre le formalisme d’un DEC5.</t>
  </si>
  <si>
    <t>- Afficher une comparaison des MNS estimées avec celles du véhicule de ref (format DEC5).</t>
  </si>
  <si>
    <r>
      <t>Problème :</t>
    </r>
    <r>
      <rPr>
        <sz val="11"/>
        <rFont val="Calibri"/>
        <family val="2"/>
      </rPr>
      <t xml:space="preserve"> Les données relatives aux moteurs (masses et cdg) référencées dans l’onglet ‘Input Data’  ne sont pas nécessairement à jour et leur prise en compte (position) reste macro.</t>
    </r>
  </si>
  <si>
    <r>
      <t>Quoi :</t>
    </r>
    <r>
      <rPr>
        <sz val="11"/>
        <rFont val="Calibri"/>
        <family val="2"/>
      </rPr>
      <t xml:space="preserve"> Assurer l’utilisation de données ‘moteur’ à jour. Assurer une correcte répartition dans le véhicule.</t>
    </r>
  </si>
  <si>
    <t>Gilles
Sept-Oct-22</t>
  </si>
  <si>
    <t>12/08/2022 :
- Reste à faire = Mettre à jour les CdG des différentes motorisations à partir de la BDD : 00987_15_00582
21/11/2022 : 
- Mise à jour à partir de la BDD moteur effectuée.</t>
  </si>
  <si>
    <t xml:space="preserve">Comment : </t>
  </si>
  <si>
    <t>- Mise à jour des inputs et des formules de prise en compte.</t>
  </si>
  <si>
    <t>- Intégration plus précise des différents motorisations électriques.</t>
  </si>
  <si>
    <r>
      <t>Problème :</t>
    </r>
    <r>
      <rPr>
        <sz val="11"/>
        <rFont val="Calibri"/>
        <family val="2"/>
      </rPr>
      <t xml:space="preserve"> L’estimation du Zcdg par rapport au sol doit être consommée avec précaution car elle fait appel à des données d’entrée non nécessairement vérifiées. </t>
    </r>
  </si>
  <si>
    <r>
      <t>Quoi :</t>
    </r>
    <r>
      <rPr>
        <sz val="11"/>
        <rFont val="Calibri"/>
        <family val="2"/>
      </rPr>
      <t xml:space="preserve"> Mettre en place un warning sur les données d’entrée du Zcdg (centre d eroue…).</t>
    </r>
  </si>
  <si>
    <t>12/08/2022 :
- Changement de la méthode d'estimation du CdG par rapport au sol --&gt; Utilisation de la position des MNS recalée pour chaque sol.</t>
  </si>
  <si>
    <r>
      <t>Problème :</t>
    </r>
    <r>
      <rPr>
        <sz val="11"/>
        <rFont val="Calibri"/>
        <family val="2"/>
      </rPr>
      <t xml:space="preserve"> L’outil ne génère que des estimations en masse à vide.</t>
    </r>
  </si>
  <si>
    <r>
      <t>Quoi :</t>
    </r>
    <r>
      <rPr>
        <sz val="11"/>
        <rFont val="Calibri"/>
        <family val="2"/>
      </rPr>
      <t xml:space="preserve"> Intégrer des estimations en MTAC.</t>
    </r>
  </si>
  <si>
    <t>Gilles / Nov-22</t>
  </si>
  <si>
    <t>12/08/2022 :
- Modification du fichier afin d'estimer la position du CdG en configuration MTAC.
- Méthode utilisée = repositionnement de chaque masse non suspendue à partir de l'écart entre le sol de REF et le sol MTAC (calculté en calculant la raideur des suspensions à partir des positions des sols MAV et REF du 1/5ième).</t>
  </si>
  <si>
    <t>- Ajouter une prise en compte des options, passager et EMC.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</si>
</sst>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"/>
    <numFmt numFmtId="165" formatCode="0.000"/>
    <numFmt numFmtId="166" formatCode="0.0&quot; kg&quot;"/>
    <numFmt numFmtId="167" formatCode="dd/mm/yy"/>
    <numFmt numFmtId="168" formatCode="0.0%"/>
    <numFmt numFmtId="169" formatCode="0.0&quot; mm&quot;"/>
    <numFmt numFmtId="170" formatCode="0&quot; mm&quot;"/>
  </numFmts>
  <fonts count="70">
    <font>
      <sz val="1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name val="Calibri"/>
      <family val="2"/>
    </font>
    <font>
      <b/>
      <sz val="14"/>
      <name val="Calibri"/>
      <family val="2"/>
    </font>
    <font>
      <b/>
      <sz val="9"/>
      <color indexed="81"/>
      <name val="Tahoma"/>
      <family val="2"/>
    </font>
    <font>
      <b/>
      <sz val="8"/>
      <name val="Arial"/>
      <family val="2"/>
    </font>
    <font>
      <sz val="9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b/>
      <sz val="20"/>
      <name val="Calibri"/>
      <family val="2"/>
    </font>
    <font>
      <sz val="11"/>
      <color theme="0"/>
      <name val="Calibri"/>
      <family val="2"/>
    </font>
    <font>
      <sz val="11"/>
      <name val="Calibri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0"/>
      <color rgb="FFFF0000"/>
      <name val="Arial"/>
      <family val="2"/>
    </font>
    <font>
      <b/>
      <sz val="18"/>
      <color indexed="9"/>
      <name val="Arial"/>
      <family val="2"/>
    </font>
    <font>
      <b/>
      <sz val="10"/>
      <color indexed="61"/>
      <name val="Arial"/>
      <family val="2"/>
    </font>
    <font>
      <b/>
      <sz val="16"/>
      <name val="Arial"/>
      <family val="2"/>
    </font>
    <font>
      <b/>
      <sz val="10"/>
      <color indexed="9"/>
      <name val="Arial"/>
      <family val="2"/>
    </font>
    <font>
      <b/>
      <sz val="9"/>
      <name val="Arial"/>
      <family val="2"/>
    </font>
    <font>
      <b/>
      <sz val="10"/>
      <color indexed="10"/>
      <name val="Arial"/>
      <family val="2"/>
    </font>
    <font>
      <b/>
      <sz val="11"/>
      <color indexed="9"/>
      <name val="Arial"/>
      <family val="2"/>
    </font>
    <font>
      <sz val="10"/>
      <color indexed="9"/>
      <name val="Arial"/>
      <family val="2"/>
    </font>
    <font>
      <b/>
      <i/>
      <sz val="9"/>
      <color indexed="9"/>
      <name val="Arial"/>
      <family val="2"/>
    </font>
    <font>
      <b/>
      <sz val="9"/>
      <color indexed="9"/>
      <name val="Arial"/>
      <family val="2"/>
    </font>
    <font>
      <sz val="8"/>
      <name val="Arial"/>
      <family val="2"/>
    </font>
    <font>
      <b/>
      <sz val="8"/>
      <color indexed="10"/>
      <name val="Arial"/>
      <family val="2"/>
    </font>
    <font>
      <sz val="11"/>
      <color theme="0" tint="-0.499984740745262"/>
      <name val="Calibri"/>
      <family val="2"/>
    </font>
    <font>
      <b/>
      <sz val="9"/>
      <color theme="0" tint="-0.499984740745262"/>
      <name val="Arial"/>
      <family val="2"/>
    </font>
    <font>
      <sz val="8"/>
      <color theme="0" tint="-0.499984740745262"/>
      <name val="Arial"/>
      <family val="2"/>
    </font>
    <font>
      <sz val="11"/>
      <color rgb="FFFF0000"/>
      <name val="Calibri"/>
      <family val="2"/>
    </font>
    <font>
      <b/>
      <sz val="11"/>
      <color rgb="FF000000"/>
      <name val="Calibri"/>
      <family val="2"/>
    </font>
    <font>
      <u/>
      <sz val="11"/>
      <name val="Calibri"/>
      <family val="2"/>
    </font>
    <font>
      <sz val="11"/>
      <name val="Wingdings"/>
      <charset val="2"/>
    </font>
    <font>
      <vertAlign val="superscript"/>
      <sz val="11"/>
      <name val="Calibri"/>
      <family val="2"/>
    </font>
    <font>
      <u/>
      <sz val="11"/>
      <color theme="10"/>
      <name val="Calibri"/>
      <family val="2"/>
    </font>
    <font>
      <sz val="11"/>
      <color rgb="FF0066FF"/>
      <name val="Calibri"/>
      <family val="2"/>
    </font>
    <font>
      <sz val="11"/>
      <color rgb="FFFFC000"/>
      <name val="Calibri"/>
      <family val="2"/>
    </font>
    <font>
      <sz val="11"/>
      <color theme="9"/>
      <name val="Calibri"/>
      <family val="2"/>
    </font>
    <font>
      <sz val="11"/>
      <color rgb="FF00B050"/>
      <name val="Calibri"/>
      <family val="2"/>
    </font>
    <font>
      <b/>
      <sz val="11"/>
      <color rgb="FF00B050"/>
      <name val="Calibri"/>
      <family val="2"/>
    </font>
    <font>
      <b/>
      <sz val="16"/>
      <name val="Calibri"/>
      <family val="2"/>
    </font>
    <font>
      <sz val="11"/>
      <color theme="4"/>
      <name val="Calibri"/>
      <family val="2"/>
    </font>
    <font>
      <sz val="11"/>
      <color rgb="FF7030A0"/>
      <name val="Calibri"/>
      <family val="2"/>
    </font>
    <font>
      <sz val="11"/>
      <color theme="8"/>
      <name val="Calibri"/>
      <family val="2"/>
    </font>
    <font>
      <sz val="11"/>
      <color theme="7"/>
      <name val="Calibri"/>
      <family val="2"/>
    </font>
    <font>
      <b/>
      <sz val="11"/>
      <color rgb="FF0000FF"/>
      <name val="Calibri"/>
      <family val="2"/>
    </font>
    <font>
      <b/>
      <sz val="11"/>
      <color rgb="FF0000FF"/>
      <name val="Arial"/>
      <family val="2"/>
    </font>
    <font>
      <sz val="11"/>
      <name val="Arial"/>
      <family val="2"/>
    </font>
    <font>
      <b/>
      <sz val="11"/>
      <color indexed="12"/>
      <name val="Arial"/>
      <family val="2"/>
    </font>
    <font>
      <b/>
      <sz val="11"/>
      <color rgb="FFFF0000"/>
      <name val="Arial"/>
      <family val="2"/>
    </font>
    <font>
      <b/>
      <sz val="16"/>
      <color rgb="FF0000FF"/>
      <name val="Arial"/>
      <family val="2"/>
    </font>
    <font>
      <b/>
      <sz val="16"/>
      <color theme="0"/>
      <name val="Arial"/>
      <family val="2"/>
    </font>
    <font>
      <sz val="14"/>
      <name val="Arial"/>
      <family val="2"/>
    </font>
    <font>
      <sz val="11"/>
      <color rgb="FFFF0000"/>
      <name val="Arial"/>
      <family val="2"/>
    </font>
    <font>
      <sz val="16"/>
      <name val="Arial"/>
      <family val="2"/>
    </font>
    <font>
      <sz val="10"/>
      <color theme="0" tint="-0.249977111117893"/>
      <name val="Arial"/>
      <family val="2"/>
    </font>
    <font>
      <sz val="11"/>
      <color rgb="FFFF3300"/>
      <name val="Calibri"/>
      <family val="2"/>
    </font>
    <font>
      <sz val="10"/>
      <color rgb="FFFF3300"/>
      <name val="Arial"/>
      <family val="2"/>
    </font>
    <font>
      <b/>
      <sz val="11"/>
      <color rgb="FFFF0000"/>
      <name val="Calibri"/>
      <family val="2"/>
    </font>
    <font>
      <b/>
      <sz val="8"/>
      <color rgb="FFFF0000"/>
      <name val="Arial"/>
      <family val="2"/>
    </font>
    <font>
      <b/>
      <sz val="10"/>
      <color rgb="FFFF0000"/>
      <name val="Arial"/>
      <family val="2"/>
    </font>
    <font>
      <sz val="8"/>
      <color rgb="FFFF0000"/>
      <name val="Arial"/>
      <family val="2"/>
    </font>
    <font>
      <b/>
      <sz val="10"/>
      <color rgb="FFFF0000"/>
      <name val="Calibri"/>
      <family val="2"/>
    </font>
    <font>
      <b/>
      <sz val="9"/>
      <color rgb="FFFF0000"/>
      <name val="Arial"/>
      <family val="2"/>
    </font>
    <font>
      <b/>
      <sz val="18"/>
      <color theme="0"/>
      <name val="Calibri"/>
      <family val="2"/>
    </font>
    <font>
      <sz val="8"/>
      <name val="Calibri"/>
      <family val="2"/>
    </font>
    <font>
      <sz val="6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</fills>
  <borders count="6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 style="medium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auto="1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auto="1"/>
      </right>
      <top/>
      <bottom style="thin">
        <color auto="1"/>
      </bottom>
      <diagonal/>
    </border>
  </borders>
  <cellStyleXfs count="6">
    <xf numFmtId="0" fontId="0" fillId="0" borderId="0">
      <alignment vertical="center"/>
    </xf>
    <xf numFmtId="0" fontId="1" fillId="0" borderId="0"/>
    <xf numFmtId="0" fontId="1" fillId="0" borderId="0"/>
    <xf numFmtId="9" fontId="12" fillId="0" borderId="0" applyFont="0" applyFill="0" applyBorder="0" applyAlignment="0" applyProtection="0"/>
    <xf numFmtId="0" fontId="37" fillId="0" borderId="0" applyNumberFormat="0" applyFill="0" applyBorder="0" applyAlignment="0" applyProtection="0">
      <alignment vertical="center"/>
    </xf>
    <xf numFmtId="0" fontId="12" fillId="0" borderId="0">
      <alignment vertical="center"/>
    </xf>
  </cellStyleXfs>
  <cellXfs count="62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164" fontId="0" fillId="11" borderId="0" xfId="0" applyNumberFormat="1" applyFill="1" applyAlignment="1">
      <alignment horizontal="center" vertical="center"/>
    </xf>
    <xf numFmtId="0" fontId="0" fillId="12" borderId="0" xfId="0" applyFill="1">
      <alignment vertical="center"/>
    </xf>
    <xf numFmtId="0" fontId="0" fillId="12" borderId="11" xfId="0" applyFill="1" applyBorder="1">
      <alignment vertical="center"/>
    </xf>
    <xf numFmtId="1" fontId="0" fillId="11" borderId="0" xfId="0" applyNumberFormat="1" applyFill="1" applyAlignment="1">
      <alignment horizontal="center" vertical="center"/>
    </xf>
    <xf numFmtId="0" fontId="0" fillId="13" borderId="0" xfId="0" applyFill="1">
      <alignment vertical="center"/>
    </xf>
    <xf numFmtId="0" fontId="0" fillId="13" borderId="11" xfId="0" applyFill="1" applyBorder="1">
      <alignment vertical="center"/>
    </xf>
    <xf numFmtId="0" fontId="0" fillId="11" borderId="0" xfId="0" applyFill="1" applyAlignment="1">
      <alignment horizontal="center" vertical="center"/>
    </xf>
    <xf numFmtId="0" fontId="0" fillId="14" borderId="0" xfId="0" applyFill="1">
      <alignment vertical="center"/>
    </xf>
    <xf numFmtId="0" fontId="0" fillId="14" borderId="11" xfId="0" applyFill="1" applyBorder="1">
      <alignment vertical="center"/>
    </xf>
    <xf numFmtId="1" fontId="0" fillId="13" borderId="0" xfId="0" applyNumberFormat="1" applyFill="1" applyAlignment="1">
      <alignment horizontal="center" vertical="center"/>
    </xf>
    <xf numFmtId="0" fontId="0" fillId="15" borderId="0" xfId="0" applyFill="1">
      <alignment vertical="center"/>
    </xf>
    <xf numFmtId="0" fontId="0" fillId="13" borderId="0" xfId="0" applyFill="1" applyAlignment="1">
      <alignment horizontal="center" vertical="center"/>
    </xf>
    <xf numFmtId="164" fontId="0" fillId="13" borderId="0" xfId="0" applyNumberFormat="1" applyFill="1">
      <alignment vertical="center"/>
    </xf>
    <xf numFmtId="0" fontId="0" fillId="16" borderId="0" xfId="0" applyFill="1">
      <alignment vertical="center"/>
    </xf>
    <xf numFmtId="0" fontId="0" fillId="16" borderId="11" xfId="0" applyFill="1" applyBorder="1">
      <alignment vertical="center"/>
    </xf>
    <xf numFmtId="164" fontId="0" fillId="5" borderId="0" xfId="0" applyNumberFormat="1" applyFill="1" applyAlignment="1">
      <alignment horizontal="center" vertical="center"/>
    </xf>
    <xf numFmtId="1" fontId="0" fillId="5" borderId="0" xfId="0" applyNumberFormat="1" applyFill="1" applyAlignment="1">
      <alignment horizontal="center" vertical="center"/>
    </xf>
    <xf numFmtId="0" fontId="0" fillId="12" borderId="12" xfId="0" applyFill="1" applyBorder="1">
      <alignment vertical="center"/>
    </xf>
    <xf numFmtId="0" fontId="0" fillId="12" borderId="10" xfId="0" applyFill="1" applyBorder="1">
      <alignment vertical="center"/>
    </xf>
    <xf numFmtId="0" fontId="0" fillId="12" borderId="24" xfId="0" applyFill="1" applyBorder="1">
      <alignment vertical="center"/>
    </xf>
    <xf numFmtId="0" fontId="0" fillId="13" borderId="25" xfId="0" applyFill="1" applyBorder="1">
      <alignment vertical="center"/>
    </xf>
    <xf numFmtId="0" fontId="0" fillId="14" borderId="25" xfId="0" applyFill="1" applyBorder="1">
      <alignment vertical="center"/>
    </xf>
    <xf numFmtId="0" fontId="0" fillId="12" borderId="25" xfId="0" applyFill="1" applyBorder="1">
      <alignment vertical="center"/>
    </xf>
    <xf numFmtId="0" fontId="0" fillId="15" borderId="25" xfId="0" applyFill="1" applyBorder="1">
      <alignment vertical="center"/>
    </xf>
    <xf numFmtId="0" fontId="0" fillId="16" borderId="25" xfId="0" applyFill="1" applyBorder="1">
      <alignment vertical="center"/>
    </xf>
    <xf numFmtId="164" fontId="0" fillId="5" borderId="25" xfId="0" applyNumberFormat="1" applyFill="1" applyBorder="1" applyAlignment="1">
      <alignment horizontal="center" vertical="center"/>
    </xf>
    <xf numFmtId="1" fontId="0" fillId="5" borderId="11" xfId="0" applyNumberFormat="1" applyFill="1" applyBorder="1" applyAlignment="1">
      <alignment horizontal="center" vertical="center"/>
    </xf>
    <xf numFmtId="1" fontId="0" fillId="5" borderId="11" xfId="0" applyNumberFormat="1" applyFill="1" applyBorder="1">
      <alignment vertical="center"/>
    </xf>
    <xf numFmtId="164" fontId="0" fillId="13" borderId="0" xfId="0" applyNumberForma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17" borderId="0" xfId="0" applyFill="1">
      <alignment vertical="center"/>
    </xf>
    <xf numFmtId="0" fontId="0" fillId="17" borderId="0" xfId="0" applyFill="1" applyAlignment="1">
      <alignment horizontal="center" vertical="center"/>
    </xf>
    <xf numFmtId="164" fontId="0" fillId="17" borderId="0" xfId="0" applyNumberFormat="1" applyFill="1">
      <alignment vertical="center"/>
    </xf>
    <xf numFmtId="0" fontId="0" fillId="0" borderId="14" xfId="0" applyBorder="1">
      <alignment vertical="center"/>
    </xf>
    <xf numFmtId="0" fontId="0" fillId="0" borderId="11" xfId="0" applyBorder="1">
      <alignment vertical="center"/>
    </xf>
    <xf numFmtId="1" fontId="0" fillId="3" borderId="11" xfId="0" applyNumberFormat="1" applyFill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164" fontId="0" fillId="5" borderId="24" xfId="0" applyNumberFormat="1" applyFill="1" applyBorder="1" applyAlignment="1">
      <alignment horizontal="center" vertical="center"/>
    </xf>
    <xf numFmtId="1" fontId="0" fillId="5" borderId="10" xfId="0" applyNumberFormat="1" applyFill="1" applyBorder="1" applyAlignment="1">
      <alignment horizontal="center" vertical="center"/>
    </xf>
    <xf numFmtId="164" fontId="0" fillId="5" borderId="10" xfId="0" applyNumberFormat="1" applyFill="1" applyBorder="1" applyAlignment="1">
      <alignment horizontal="center" vertical="center"/>
    </xf>
    <xf numFmtId="164" fontId="0" fillId="13" borderId="11" xfId="0" applyNumberFormat="1" applyFill="1" applyBorder="1" applyAlignment="1">
      <alignment horizontal="left" vertical="center"/>
    </xf>
    <xf numFmtId="164" fontId="0" fillId="11" borderId="25" xfId="0" applyNumberFormat="1" applyFill="1" applyBorder="1" applyAlignment="1">
      <alignment horizontal="center" vertical="center"/>
    </xf>
    <xf numFmtId="1" fontId="0" fillId="13" borderId="25" xfId="0" applyNumberFormat="1" applyFill="1" applyBorder="1" applyAlignment="1">
      <alignment horizontal="center" vertical="center"/>
    </xf>
    <xf numFmtId="1" fontId="0" fillId="5" borderId="25" xfId="0" applyNumberFormat="1" applyFill="1" applyBorder="1" applyAlignment="1">
      <alignment horizontal="center" vertical="center"/>
    </xf>
    <xf numFmtId="1" fontId="0" fillId="11" borderId="25" xfId="0" applyNumberFormat="1" applyFill="1" applyBorder="1" applyAlignment="1">
      <alignment horizontal="center" vertical="center"/>
    </xf>
    <xf numFmtId="164" fontId="0" fillId="13" borderId="25" xfId="0" applyNumberFormat="1" applyFill="1" applyBorder="1">
      <alignment vertical="center"/>
    </xf>
    <xf numFmtId="0" fontId="0" fillId="5" borderId="12" xfId="0" applyFill="1" applyBorder="1" applyProtection="1">
      <alignment vertical="center"/>
      <protection hidden="1"/>
    </xf>
    <xf numFmtId="0" fontId="0" fillId="0" borderId="0" xfId="0" applyAlignment="1">
      <alignment horizontal="right" vertical="center"/>
    </xf>
    <xf numFmtId="1" fontId="11" fillId="22" borderId="11" xfId="0" applyNumberFormat="1" applyFont="1" applyFill="1" applyBorder="1" applyAlignment="1">
      <alignment horizontal="center" vertical="center"/>
    </xf>
    <xf numFmtId="164" fontId="11" fillId="22" borderId="25" xfId="0" applyNumberFormat="1" applyFont="1" applyFill="1" applyBorder="1" applyAlignment="1">
      <alignment horizontal="center" vertical="center"/>
    </xf>
    <xf numFmtId="1" fontId="11" fillId="22" borderId="0" xfId="0" applyNumberFormat="1" applyFont="1" applyFill="1" applyAlignment="1">
      <alignment horizontal="center" vertical="center"/>
    </xf>
    <xf numFmtId="164" fontId="11" fillId="22" borderId="0" xfId="0" applyNumberFormat="1" applyFont="1" applyFill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0" xfId="1" applyAlignment="1">
      <alignment vertical="center"/>
    </xf>
    <xf numFmtId="0" fontId="1" fillId="0" borderId="0" xfId="1" applyAlignment="1">
      <alignment horizontal="center" vertical="center"/>
    </xf>
    <xf numFmtId="0" fontId="2" fillId="8" borderId="1" xfId="1" applyFont="1" applyFill="1" applyBorder="1" applyAlignment="1">
      <alignment horizontal="center" vertical="center"/>
    </xf>
    <xf numFmtId="0" fontId="1" fillId="6" borderId="1" xfId="1" applyFill="1" applyBorder="1" applyAlignment="1">
      <alignment vertical="center"/>
    </xf>
    <xf numFmtId="1" fontId="1" fillId="3" borderId="1" xfId="1" applyNumberFormat="1" applyFill="1" applyBorder="1" applyAlignment="1">
      <alignment horizontal="center" vertical="center"/>
    </xf>
    <xf numFmtId="1" fontId="1" fillId="5" borderId="1" xfId="1" applyNumberFormat="1" applyFill="1" applyBorder="1" applyAlignment="1">
      <alignment horizontal="center" vertical="center"/>
    </xf>
    <xf numFmtId="0" fontId="1" fillId="0" borderId="0" xfId="1" applyAlignment="1">
      <alignment horizontal="left" vertical="center"/>
    </xf>
    <xf numFmtId="0" fontId="1" fillId="0" borderId="0" xfId="1" applyAlignment="1">
      <alignment vertical="center" wrapText="1"/>
    </xf>
    <xf numFmtId="0" fontId="1" fillId="21" borderId="0" xfId="1" applyFill="1" applyAlignment="1">
      <alignment vertical="center"/>
    </xf>
    <xf numFmtId="0" fontId="1" fillId="21" borderId="0" xfId="1" applyFill="1" applyAlignment="1">
      <alignment vertical="center" wrapText="1"/>
    </xf>
    <xf numFmtId="0" fontId="1" fillId="6" borderId="0" xfId="1" applyFill="1" applyAlignment="1">
      <alignment vertical="center"/>
    </xf>
    <xf numFmtId="0" fontId="1" fillId="5" borderId="0" xfId="1" applyFill="1" applyAlignment="1">
      <alignment horizontal="center" vertical="center"/>
    </xf>
    <xf numFmtId="17" fontId="14" fillId="18" borderId="45" xfId="0" applyNumberFormat="1" applyFont="1" applyFill="1" applyBorder="1" applyAlignment="1">
      <alignment horizontal="center" vertical="center" wrapText="1"/>
    </xf>
    <xf numFmtId="17" fontId="14" fillId="18" borderId="46" xfId="0" applyNumberFormat="1" applyFont="1" applyFill="1" applyBorder="1" applyAlignment="1">
      <alignment horizontal="center" vertical="center" wrapText="1"/>
    </xf>
    <xf numFmtId="0" fontId="21" fillId="18" borderId="12" xfId="0" applyFont="1" applyFill="1" applyBorder="1" applyAlignment="1">
      <alignment horizontal="center" vertical="center" wrapText="1"/>
    </xf>
    <xf numFmtId="167" fontId="21" fillId="18" borderId="24" xfId="0" applyNumberFormat="1" applyFont="1" applyFill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21" fillId="18" borderId="26" xfId="0" applyFont="1" applyFill="1" applyBorder="1" applyAlignment="1">
      <alignment horizontal="center" vertical="center" wrapText="1"/>
    </xf>
    <xf numFmtId="167" fontId="21" fillId="18" borderId="41" xfId="0" applyNumberFormat="1" applyFont="1" applyFill="1" applyBorder="1" applyAlignment="1">
      <alignment horizontal="center" vertical="center"/>
    </xf>
    <xf numFmtId="9" fontId="2" fillId="0" borderId="0" xfId="3" applyFont="1" applyBorder="1" applyAlignment="1">
      <alignment horizontal="center"/>
    </xf>
    <xf numFmtId="0" fontId="25" fillId="28" borderId="12" xfId="0" applyFont="1" applyFill="1" applyBorder="1">
      <alignment vertical="center"/>
    </xf>
    <xf numFmtId="49" fontId="25" fillId="28" borderId="10" xfId="0" applyNumberFormat="1" applyFont="1" applyFill="1" applyBorder="1" applyAlignment="1">
      <alignment horizontal="center" vertical="center" wrapText="1"/>
    </xf>
    <xf numFmtId="2" fontId="21" fillId="0" borderId="1" xfId="0" applyNumberFormat="1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27" fillId="0" borderId="1" xfId="0" applyFont="1" applyBorder="1" applyAlignment="1">
      <alignment horizontal="left" vertical="center"/>
    </xf>
    <xf numFmtId="2" fontId="27" fillId="0" borderId="1" xfId="0" applyNumberFormat="1" applyFont="1" applyBorder="1" applyAlignment="1">
      <alignment horizontal="center" vertical="center"/>
    </xf>
    <xf numFmtId="2" fontId="27" fillId="4" borderId="29" xfId="0" applyNumberFormat="1" applyFont="1" applyFill="1" applyBorder="1" applyAlignment="1">
      <alignment horizontal="center"/>
    </xf>
    <xf numFmtId="0" fontId="27" fillId="0" borderId="36" xfId="0" applyFont="1" applyBorder="1" applyAlignment="1">
      <alignment horizontal="center" vertical="center"/>
    </xf>
    <xf numFmtId="0" fontId="27" fillId="0" borderId="19" xfId="0" applyFont="1" applyBorder="1" applyAlignment="1">
      <alignment horizontal="center" vertical="center"/>
    </xf>
    <xf numFmtId="0" fontId="27" fillId="0" borderId="20" xfId="0" applyFont="1" applyBorder="1" applyAlignment="1">
      <alignment horizontal="left" vertical="center"/>
    </xf>
    <xf numFmtId="2" fontId="27" fillId="0" borderId="20" xfId="0" applyNumberFormat="1" applyFont="1" applyBorder="1" applyAlignment="1">
      <alignment horizontal="center" vertical="center"/>
    </xf>
    <xf numFmtId="2" fontId="27" fillId="4" borderId="32" xfId="0" applyNumberFormat="1" applyFont="1" applyFill="1" applyBorder="1" applyAlignment="1">
      <alignment horizontal="center"/>
    </xf>
    <xf numFmtId="2" fontId="27" fillId="18" borderId="29" xfId="0" applyNumberFormat="1" applyFont="1" applyFill="1" applyBorder="1" applyAlignment="1">
      <alignment horizontal="center"/>
    </xf>
    <xf numFmtId="2" fontId="27" fillId="18" borderId="32" xfId="0" applyNumberFormat="1" applyFont="1" applyFill="1" applyBorder="1" applyAlignment="1">
      <alignment horizontal="center"/>
    </xf>
    <xf numFmtId="2" fontId="26" fillId="28" borderId="34" xfId="0" applyNumberFormat="1" applyFont="1" applyFill="1" applyBorder="1" applyAlignment="1">
      <alignment horizontal="center" vertical="center" wrapText="1"/>
    </xf>
    <xf numFmtId="2" fontId="26" fillId="28" borderId="49" xfId="0" applyNumberFormat="1" applyFont="1" applyFill="1" applyBorder="1" applyAlignment="1">
      <alignment horizontal="center" vertical="center" wrapText="1"/>
    </xf>
    <xf numFmtId="0" fontId="19" fillId="18" borderId="45" xfId="0" applyFont="1" applyFill="1" applyBorder="1" applyAlignment="1">
      <alignment horizontal="center" vertical="center" wrapText="1"/>
    </xf>
    <xf numFmtId="2" fontId="28" fillId="18" borderId="29" xfId="0" applyNumberFormat="1" applyFont="1" applyFill="1" applyBorder="1" applyAlignment="1">
      <alignment horizontal="center"/>
    </xf>
    <xf numFmtId="2" fontId="2" fillId="0" borderId="1" xfId="0" applyNumberFormat="1" applyFont="1" applyBorder="1" applyAlignment="1">
      <alignment horizontal="center" vertical="center"/>
    </xf>
    <xf numFmtId="9" fontId="6" fillId="0" borderId="1" xfId="3" applyFont="1" applyFill="1" applyBorder="1" applyAlignment="1">
      <alignment horizontal="center" vertical="center"/>
    </xf>
    <xf numFmtId="2" fontId="30" fillId="0" borderId="1" xfId="0" applyNumberFormat="1" applyFont="1" applyBorder="1" applyAlignment="1">
      <alignment horizontal="center" vertical="center"/>
    </xf>
    <xf numFmtId="2" fontId="31" fillId="0" borderId="1" xfId="0" applyNumberFormat="1" applyFont="1" applyBorder="1" applyAlignment="1">
      <alignment horizontal="center" vertical="center"/>
    </xf>
    <xf numFmtId="164" fontId="0" fillId="13" borderId="25" xfId="0" applyNumberFormat="1" applyFill="1" applyBorder="1" applyAlignment="1">
      <alignment horizontal="left" vertical="center"/>
    </xf>
    <xf numFmtId="164" fontId="0" fillId="13" borderId="26" xfId="0" applyNumberFormat="1" applyFill="1" applyBorder="1" applyAlignment="1">
      <alignment horizontal="left" vertical="center"/>
    </xf>
    <xf numFmtId="164" fontId="0" fillId="13" borderId="14" xfId="0" applyNumberFormat="1" applyFill="1" applyBorder="1" applyAlignment="1">
      <alignment horizontal="left" vertical="center"/>
    </xf>
    <xf numFmtId="164" fontId="0" fillId="13" borderId="41" xfId="0" applyNumberFormat="1" applyFill="1" applyBorder="1" applyAlignment="1">
      <alignment horizontal="left" vertical="center"/>
    </xf>
    <xf numFmtId="164" fontId="0" fillId="3" borderId="0" xfId="0" applyNumberFormat="1" applyFill="1" applyAlignment="1">
      <alignment horizontal="center" vertical="center"/>
    </xf>
    <xf numFmtId="1" fontId="0" fillId="3" borderId="26" xfId="0" applyNumberFormat="1" applyFill="1" applyBorder="1" applyAlignment="1">
      <alignment horizontal="center" vertical="center"/>
    </xf>
    <xf numFmtId="1" fontId="0" fillId="11" borderId="14" xfId="0" applyNumberFormat="1" applyFill="1" applyBorder="1" applyAlignment="1">
      <alignment horizontal="center" vertical="center"/>
    </xf>
    <xf numFmtId="1" fontId="0" fillId="11" borderId="41" xfId="0" applyNumberFormat="1" applyFill="1" applyBorder="1" applyAlignment="1">
      <alignment horizontal="center" vertical="center"/>
    </xf>
    <xf numFmtId="0" fontId="33" fillId="23" borderId="41" xfId="0" applyFont="1" applyFill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 wrapText="1"/>
    </xf>
    <xf numFmtId="0" fontId="0" fillId="0" borderId="25" xfId="0" applyBorder="1" applyAlignment="1">
      <alignment vertical="top" wrapText="1"/>
    </xf>
    <xf numFmtId="0" fontId="0" fillId="0" borderId="41" xfId="0" applyBorder="1" applyAlignment="1">
      <alignment vertical="top" wrapText="1"/>
    </xf>
    <xf numFmtId="17" fontId="12" fillId="0" borderId="25" xfId="0" applyNumberFormat="1" applyFont="1" applyBorder="1" applyAlignment="1">
      <alignment horizontal="center" vertical="center" wrapText="1"/>
    </xf>
    <xf numFmtId="0" fontId="0" fillId="0" borderId="25" xfId="0" applyBorder="1">
      <alignment vertical="center"/>
    </xf>
    <xf numFmtId="0" fontId="0" fillId="0" borderId="41" xfId="0" applyBorder="1">
      <alignment vertical="center"/>
    </xf>
    <xf numFmtId="0" fontId="0" fillId="0" borderId="45" xfId="0" applyBorder="1" applyAlignment="1">
      <alignment vertical="top" wrapText="1"/>
    </xf>
    <xf numFmtId="0" fontId="0" fillId="0" borderId="46" xfId="0" applyBorder="1" applyAlignment="1">
      <alignment vertical="top" wrapText="1"/>
    </xf>
    <xf numFmtId="0" fontId="0" fillId="0" borderId="0" xfId="0" applyAlignment="1">
      <alignment vertical="top"/>
    </xf>
    <xf numFmtId="0" fontId="33" fillId="23" borderId="46" xfId="0" applyFont="1" applyFill="1" applyBorder="1" applyAlignment="1">
      <alignment horizontal="center" vertical="top" wrapText="1"/>
    </xf>
    <xf numFmtId="0" fontId="34" fillId="0" borderId="45" xfId="0" applyFont="1" applyBorder="1" applyAlignment="1">
      <alignment horizontal="left" vertical="top" wrapText="1"/>
    </xf>
    <xf numFmtId="0" fontId="12" fillId="0" borderId="45" xfId="0" applyFont="1" applyBorder="1" applyAlignment="1">
      <alignment horizontal="left" vertical="top" wrapText="1"/>
    </xf>
    <xf numFmtId="0" fontId="12" fillId="0" borderId="46" xfId="0" applyFont="1" applyBorder="1" applyAlignment="1">
      <alignment horizontal="left" vertical="top" wrapText="1"/>
    </xf>
    <xf numFmtId="0" fontId="33" fillId="23" borderId="41" xfId="0" applyFont="1" applyFill="1" applyBorder="1" applyAlignment="1">
      <alignment horizontal="center" vertical="top" wrapText="1"/>
    </xf>
    <xf numFmtId="0" fontId="34" fillId="0" borderId="25" xfId="0" applyFont="1" applyBorder="1" applyAlignment="1">
      <alignment vertical="top" wrapText="1"/>
    </xf>
    <xf numFmtId="0" fontId="12" fillId="0" borderId="25" xfId="0" applyFont="1" applyBorder="1" applyAlignment="1">
      <alignment vertical="top" wrapText="1"/>
    </xf>
    <xf numFmtId="0" fontId="12" fillId="0" borderId="41" xfId="0" applyFont="1" applyBorder="1" applyAlignment="1">
      <alignment vertical="top" wrapText="1"/>
    </xf>
    <xf numFmtId="2" fontId="2" fillId="26" borderId="1" xfId="0" applyNumberFormat="1" applyFont="1" applyFill="1" applyBorder="1" applyAlignment="1">
      <alignment horizontal="center" vertical="center" wrapText="1"/>
    </xf>
    <xf numFmtId="2" fontId="20" fillId="27" borderId="1" xfId="0" applyNumberFormat="1" applyFont="1" applyFill="1" applyBorder="1" applyAlignment="1">
      <alignment horizontal="center" vertical="center" wrapText="1"/>
    </xf>
    <xf numFmtId="2" fontId="6" fillId="0" borderId="1" xfId="0" applyNumberFormat="1" applyFont="1" applyBorder="1" applyAlignment="1">
      <alignment horizontal="center" vertical="center"/>
    </xf>
    <xf numFmtId="2" fontId="21" fillId="5" borderId="1" xfId="0" applyNumberFormat="1" applyFont="1" applyFill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2" fontId="27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wrapText="1"/>
    </xf>
    <xf numFmtId="0" fontId="2" fillId="0" borderId="0" xfId="0" applyFont="1" applyAlignment="1">
      <alignment horizontal="center" vertical="center"/>
    </xf>
    <xf numFmtId="0" fontId="22" fillId="0" borderId="0" xfId="0" applyFont="1" applyAlignment="1">
      <alignment horizontal="left"/>
    </xf>
    <xf numFmtId="14" fontId="2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/>
    <xf numFmtId="2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/>
    <xf numFmtId="0" fontId="6" fillId="0" borderId="0" xfId="0" applyFont="1" applyAlignment="1">
      <alignment horizontal="center"/>
    </xf>
    <xf numFmtId="0" fontId="23" fillId="28" borderId="0" xfId="0" applyFont="1" applyFill="1" applyAlignment="1"/>
    <xf numFmtId="0" fontId="24" fillId="28" borderId="0" xfId="0" applyFont="1" applyFill="1" applyAlignment="1"/>
    <xf numFmtId="0" fontId="29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" fontId="7" fillId="0" borderId="0" xfId="0" applyNumberFormat="1" applyFont="1">
      <alignment vertical="center"/>
    </xf>
    <xf numFmtId="2" fontId="27" fillId="0" borderId="0" xfId="0" applyNumberFormat="1" applyFont="1" applyAlignment="1"/>
    <xf numFmtId="0" fontId="6" fillId="0" borderId="0" xfId="0" applyFont="1" applyAlignment="1"/>
    <xf numFmtId="2" fontId="31" fillId="0" borderId="0" xfId="0" applyNumberFormat="1" applyFont="1" applyAlignment="1">
      <alignment horizontal="center" vertical="center"/>
    </xf>
    <xf numFmtId="0" fontId="0" fillId="0" borderId="26" xfId="0" applyBorder="1">
      <alignment vertical="center"/>
    </xf>
    <xf numFmtId="0" fontId="6" fillId="0" borderId="14" xfId="0" applyFont="1" applyBorder="1" applyAlignment="1">
      <alignment horizontal="center"/>
    </xf>
    <xf numFmtId="0" fontId="6" fillId="0" borderId="14" xfId="0" applyFont="1" applyBorder="1" applyAlignment="1"/>
    <xf numFmtId="0" fontId="27" fillId="0" borderId="14" xfId="0" applyFont="1" applyBorder="1" applyAlignment="1"/>
    <xf numFmtId="0" fontId="27" fillId="0" borderId="14" xfId="0" applyFont="1" applyBorder="1" applyAlignment="1">
      <alignment horizontal="center" vertical="center"/>
    </xf>
    <xf numFmtId="0" fontId="38" fillId="29" borderId="0" xfId="0" applyFont="1" applyFill="1" applyAlignment="1">
      <alignment horizontal="center" vertical="center" wrapText="1"/>
    </xf>
    <xf numFmtId="49" fontId="17" fillId="5" borderId="43" xfId="0" applyNumberFormat="1" applyFont="1" applyFill="1" applyBorder="1" applyAlignment="1">
      <alignment horizontal="center" vertical="center" wrapText="1"/>
    </xf>
    <xf numFmtId="49" fontId="19" fillId="5" borderId="44" xfId="0" applyNumberFormat="1" applyFont="1" applyFill="1" applyBorder="1" applyAlignment="1">
      <alignment horizontal="center" vertical="center" wrapText="1"/>
    </xf>
    <xf numFmtId="168" fontId="6" fillId="0" borderId="1" xfId="3" applyNumberFormat="1" applyFont="1" applyBorder="1" applyAlignment="1">
      <alignment horizontal="center" vertical="center"/>
    </xf>
    <xf numFmtId="0" fontId="4" fillId="23" borderId="24" xfId="0" applyFont="1" applyFill="1" applyBorder="1" applyAlignment="1">
      <alignment horizontal="center" vertical="center" wrapText="1"/>
    </xf>
    <xf numFmtId="1" fontId="21" fillId="24" borderId="47" xfId="0" applyNumberFormat="1" applyFont="1" applyFill="1" applyBorder="1" applyAlignment="1">
      <alignment horizontal="center"/>
    </xf>
    <xf numFmtId="1" fontId="26" fillId="24" borderId="23" xfId="0" applyNumberFormat="1" applyFont="1" applyFill="1" applyBorder="1" applyAlignment="1">
      <alignment horizontal="right"/>
    </xf>
    <xf numFmtId="1" fontId="21" fillId="24" borderId="23" xfId="0" applyNumberFormat="1" applyFont="1" applyFill="1" applyBorder="1" applyAlignment="1">
      <alignment horizontal="center"/>
    </xf>
    <xf numFmtId="1" fontId="21" fillId="24" borderId="48" xfId="0" applyNumberFormat="1" applyFont="1" applyFill="1" applyBorder="1" applyAlignment="1">
      <alignment horizontal="center"/>
    </xf>
    <xf numFmtId="1" fontId="21" fillId="24" borderId="2" xfId="0" applyNumberFormat="1" applyFont="1" applyFill="1" applyBorder="1" applyAlignment="1">
      <alignment horizontal="center"/>
    </xf>
    <xf numFmtId="1" fontId="26" fillId="24" borderId="0" xfId="0" applyNumberFormat="1" applyFont="1" applyFill="1" applyAlignment="1">
      <alignment horizontal="right"/>
    </xf>
    <xf numFmtId="1" fontId="21" fillId="24" borderId="0" xfId="0" applyNumberFormat="1" applyFont="1" applyFill="1" applyAlignment="1">
      <alignment horizontal="center"/>
    </xf>
    <xf numFmtId="1" fontId="21" fillId="24" borderId="3" xfId="0" applyNumberFormat="1" applyFont="1" applyFill="1" applyBorder="1" applyAlignment="1">
      <alignment horizontal="center"/>
    </xf>
    <xf numFmtId="9" fontId="21" fillId="24" borderId="4" xfId="3" applyFont="1" applyFill="1" applyBorder="1" applyAlignment="1">
      <alignment horizontal="center"/>
    </xf>
    <xf numFmtId="9" fontId="26" fillId="24" borderId="5" xfId="3" applyFont="1" applyFill="1" applyBorder="1" applyAlignment="1">
      <alignment horizontal="right"/>
    </xf>
    <xf numFmtId="9" fontId="21" fillId="24" borderId="5" xfId="3" applyFont="1" applyFill="1" applyBorder="1" applyAlignment="1">
      <alignment horizontal="center"/>
    </xf>
    <xf numFmtId="9" fontId="21" fillId="24" borderId="6" xfId="3" applyFont="1" applyFill="1" applyBorder="1" applyAlignment="1">
      <alignment horizontal="center"/>
    </xf>
    <xf numFmtId="0" fontId="21" fillId="0" borderId="0" xfId="0" applyFont="1" applyAlignment="1"/>
    <xf numFmtId="1" fontId="26" fillId="27" borderId="47" xfId="0" applyNumberFormat="1" applyFont="1" applyFill="1" applyBorder="1" applyAlignment="1">
      <alignment horizontal="center"/>
    </xf>
    <xf numFmtId="1" fontId="26" fillId="27" borderId="23" xfId="0" applyNumberFormat="1" applyFont="1" applyFill="1" applyBorder="1" applyAlignment="1">
      <alignment horizontal="right"/>
    </xf>
    <xf numFmtId="1" fontId="26" fillId="27" borderId="23" xfId="0" applyNumberFormat="1" applyFont="1" applyFill="1" applyBorder="1" applyAlignment="1">
      <alignment horizontal="center"/>
    </xf>
    <xf numFmtId="1" fontId="26" fillId="27" borderId="48" xfId="0" applyNumberFormat="1" applyFont="1" applyFill="1" applyBorder="1" applyAlignment="1">
      <alignment horizontal="center"/>
    </xf>
    <xf numFmtId="1" fontId="26" fillId="27" borderId="2" xfId="0" applyNumberFormat="1" applyFont="1" applyFill="1" applyBorder="1" applyAlignment="1">
      <alignment horizontal="center"/>
    </xf>
    <xf numFmtId="1" fontId="26" fillId="27" borderId="0" xfId="0" applyNumberFormat="1" applyFont="1" applyFill="1" applyAlignment="1">
      <alignment horizontal="right"/>
    </xf>
    <xf numFmtId="1" fontId="26" fillId="27" borderId="0" xfId="0" applyNumberFormat="1" applyFont="1" applyFill="1" applyAlignment="1">
      <alignment horizontal="center"/>
    </xf>
    <xf numFmtId="1" fontId="26" fillId="27" borderId="3" xfId="0" applyNumberFormat="1" applyFont="1" applyFill="1" applyBorder="1" applyAlignment="1">
      <alignment horizontal="center"/>
    </xf>
    <xf numFmtId="1" fontId="26" fillId="27" borderId="4" xfId="0" applyNumberFormat="1" applyFont="1" applyFill="1" applyBorder="1" applyAlignment="1">
      <alignment horizontal="center"/>
    </xf>
    <xf numFmtId="1" fontId="26" fillId="27" borderId="5" xfId="0" applyNumberFormat="1" applyFont="1" applyFill="1" applyBorder="1" applyAlignment="1">
      <alignment horizontal="right"/>
    </xf>
    <xf numFmtId="1" fontId="26" fillId="27" borderId="5" xfId="0" applyNumberFormat="1" applyFont="1" applyFill="1" applyBorder="1" applyAlignment="1">
      <alignment horizontal="center"/>
    </xf>
    <xf numFmtId="1" fontId="26" fillId="27" borderId="6" xfId="0" applyNumberFormat="1" applyFont="1" applyFill="1" applyBorder="1" applyAlignment="1">
      <alignment horizontal="center"/>
    </xf>
    <xf numFmtId="0" fontId="0" fillId="17" borderId="0" xfId="0" applyFill="1" applyAlignment="1">
      <alignment horizontal="left" vertical="center"/>
    </xf>
    <xf numFmtId="0" fontId="3" fillId="17" borderId="0" xfId="0" applyFont="1" applyFill="1">
      <alignment vertical="center"/>
    </xf>
    <xf numFmtId="166" fontId="0" fillId="0" borderId="0" xfId="0" applyNumberFormat="1">
      <alignment vertical="center"/>
    </xf>
    <xf numFmtId="166" fontId="0" fillId="0" borderId="0" xfId="0" applyNumberFormat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164" fontId="4" fillId="10" borderId="20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 vertical="center" wrapText="1"/>
    </xf>
    <xf numFmtId="164" fontId="0" fillId="3" borderId="14" xfId="0" applyNumberFormat="1" applyFill="1" applyBorder="1" applyAlignment="1">
      <alignment horizontal="center" vertical="center"/>
    </xf>
    <xf numFmtId="0" fontId="3" fillId="0" borderId="32" xfId="0" applyFont="1" applyBorder="1" applyAlignment="1">
      <alignment horizontal="center" vertical="center" wrapText="1"/>
    </xf>
    <xf numFmtId="0" fontId="43" fillId="17" borderId="0" xfId="0" applyFont="1" applyFill="1">
      <alignment vertical="center"/>
    </xf>
    <xf numFmtId="169" fontId="3" fillId="10" borderId="1" xfId="0" applyNumberFormat="1" applyFont="1" applyFill="1" applyBorder="1" applyAlignment="1">
      <alignment horizontal="center" vertical="center"/>
    </xf>
    <xf numFmtId="169" fontId="0" fillId="0" borderId="0" xfId="0" applyNumberFormat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11" borderId="25" xfId="0" applyFill="1" applyBorder="1" applyAlignment="1">
      <alignment horizontal="center" vertical="center"/>
    </xf>
    <xf numFmtId="0" fontId="0" fillId="25" borderId="25" xfId="0" applyFill="1" applyBorder="1" applyAlignment="1">
      <alignment horizontal="center" vertical="center"/>
    </xf>
    <xf numFmtId="0" fontId="0" fillId="3" borderId="25" xfId="0" applyFill="1" applyBorder="1" applyAlignment="1">
      <alignment horizontal="center" vertical="center"/>
    </xf>
    <xf numFmtId="2" fontId="0" fillId="3" borderId="25" xfId="0" applyNumberForma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3" fillId="0" borderId="22" xfId="0" applyFont="1" applyBorder="1" applyAlignment="1">
      <alignment vertical="center" wrapText="1"/>
    </xf>
    <xf numFmtId="0" fontId="3" fillId="0" borderId="42" xfId="0" applyFont="1" applyBorder="1" applyAlignment="1">
      <alignment vertical="center" wrapText="1"/>
    </xf>
    <xf numFmtId="169" fontId="0" fillId="7" borderId="1" xfId="0" applyNumberFormat="1" applyFill="1" applyBorder="1" applyAlignment="1">
      <alignment horizontal="center" vertical="center"/>
    </xf>
    <xf numFmtId="0" fontId="39" fillId="0" borderId="0" xfId="0" applyFont="1">
      <alignment vertical="center"/>
    </xf>
    <xf numFmtId="166" fontId="3" fillId="10" borderId="1" xfId="0" applyNumberFormat="1" applyFont="1" applyFill="1" applyBorder="1" applyAlignment="1">
      <alignment horizontal="center" vertical="center"/>
    </xf>
    <xf numFmtId="0" fontId="34" fillId="0" borderId="25" xfId="0" quotePrefix="1" applyFont="1" applyBorder="1" applyAlignment="1">
      <alignment vertical="top" wrapText="1"/>
    </xf>
    <xf numFmtId="0" fontId="12" fillId="10" borderId="25" xfId="0" applyFont="1" applyFill="1" applyBorder="1" applyAlignment="1">
      <alignment horizontal="center" vertical="center" wrapText="1"/>
    </xf>
    <xf numFmtId="17" fontId="12" fillId="10" borderId="25" xfId="0" applyNumberFormat="1" applyFont="1" applyFill="1" applyBorder="1" applyAlignment="1">
      <alignment horizontal="center" vertical="center" wrapText="1"/>
    </xf>
    <xf numFmtId="0" fontId="0" fillId="10" borderId="25" xfId="0" applyFill="1" applyBorder="1" applyAlignment="1">
      <alignment vertical="top" wrapText="1"/>
    </xf>
    <xf numFmtId="0" fontId="0" fillId="10" borderId="41" xfId="0" applyFill="1" applyBorder="1" applyAlignment="1">
      <alignment vertical="top" wrapText="1"/>
    </xf>
    <xf numFmtId="0" fontId="0" fillId="0" borderId="2" xfId="0" applyBorder="1">
      <alignment vertical="center"/>
    </xf>
    <xf numFmtId="164" fontId="0" fillId="0" borderId="3" xfId="0" applyNumberFormat="1" applyBorder="1">
      <alignment vertical="center"/>
    </xf>
    <xf numFmtId="0" fontId="0" fillId="0" borderId="5" xfId="0" applyBorder="1">
      <alignment vertical="center"/>
    </xf>
    <xf numFmtId="164" fontId="0" fillId="0" borderId="5" xfId="0" applyNumberFormat="1" applyBorder="1">
      <alignment vertical="center"/>
    </xf>
    <xf numFmtId="164" fontId="0" fillId="0" borderId="6" xfId="0" applyNumberFormat="1" applyBorder="1">
      <alignment vertical="center"/>
    </xf>
    <xf numFmtId="164" fontId="0" fillId="0" borderId="3" xfId="0" applyNumberFormat="1" applyBorder="1" applyAlignment="1">
      <alignment horizontal="center" vertical="center"/>
    </xf>
    <xf numFmtId="0" fontId="0" fillId="0" borderId="4" xfId="0" applyBorder="1">
      <alignment vertical="center"/>
    </xf>
    <xf numFmtId="164" fontId="0" fillId="0" borderId="0" xfId="0" applyNumberFormat="1" applyAlignment="1">
      <alignment horizontal="left" vertical="center"/>
    </xf>
    <xf numFmtId="170" fontId="3" fillId="10" borderId="1" xfId="0" applyNumberFormat="1" applyFont="1" applyFill="1" applyBorder="1" applyAlignment="1">
      <alignment horizontal="center" vertical="center"/>
    </xf>
    <xf numFmtId="0" fontId="50" fillId="0" borderId="0" xfId="0" applyFont="1">
      <alignment vertical="center"/>
    </xf>
    <xf numFmtId="0" fontId="13" fillId="0" borderId="1" xfId="0" applyFont="1" applyBorder="1" applyAlignment="1">
      <alignment horizontal="center" vertical="center" wrapText="1"/>
    </xf>
    <xf numFmtId="0" fontId="50" fillId="0" borderId="14" xfId="0" applyFont="1" applyBorder="1" applyAlignment="1">
      <alignment horizontal="right" vertical="center"/>
    </xf>
    <xf numFmtId="0" fontId="13" fillId="0" borderId="35" xfId="0" applyFont="1" applyBorder="1" applyAlignment="1">
      <alignment horizontal="center" vertical="center" wrapText="1"/>
    </xf>
    <xf numFmtId="0" fontId="50" fillId="0" borderId="28" xfId="0" applyFont="1" applyBorder="1" applyAlignment="1">
      <alignment horizontal="center" vertical="center"/>
    </xf>
    <xf numFmtId="0" fontId="50" fillId="0" borderId="32" xfId="0" applyFont="1" applyBorder="1" applyAlignment="1">
      <alignment horizontal="center" vertical="center"/>
    </xf>
    <xf numFmtId="0" fontId="13" fillId="0" borderId="38" xfId="0" applyFont="1" applyBorder="1" applyAlignment="1">
      <alignment horizontal="center" vertical="center" wrapText="1"/>
    </xf>
    <xf numFmtId="0" fontId="50" fillId="0" borderId="5" xfId="0" applyFont="1" applyBorder="1">
      <alignment vertical="center"/>
    </xf>
    <xf numFmtId="166" fontId="50" fillId="20" borderId="9" xfId="0" applyNumberFormat="1" applyFont="1" applyFill="1" applyBorder="1" applyAlignment="1">
      <alignment horizontal="center" vertical="center"/>
    </xf>
    <xf numFmtId="0" fontId="50" fillId="20" borderId="9" xfId="0" applyFont="1" applyFill="1" applyBorder="1" applyAlignment="1">
      <alignment horizontal="center" vertical="center"/>
    </xf>
    <xf numFmtId="169" fontId="50" fillId="20" borderId="9" xfId="0" applyNumberFormat="1" applyFont="1" applyFill="1" applyBorder="1" applyAlignment="1">
      <alignment horizontal="center" vertical="center"/>
    </xf>
    <xf numFmtId="0" fontId="4" fillId="0" borderId="17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164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69" fontId="0" fillId="0" borderId="3" xfId="0" applyNumberFormat="1" applyBorder="1" applyAlignment="1">
      <alignment horizontal="center" vertical="center"/>
    </xf>
    <xf numFmtId="166" fontId="3" fillId="10" borderId="42" xfId="0" applyNumberFormat="1" applyFont="1" applyFill="1" applyBorder="1" applyAlignment="1">
      <alignment horizontal="center" vertical="center"/>
    </xf>
    <xf numFmtId="169" fontId="3" fillId="10" borderId="42" xfId="0" applyNumberFormat="1" applyFont="1" applyFill="1" applyBorder="1" applyAlignment="1">
      <alignment horizontal="center" vertical="center"/>
    </xf>
    <xf numFmtId="0" fontId="43" fillId="23" borderId="7" xfId="0" applyFont="1" applyFill="1" applyBorder="1" applyAlignment="1">
      <alignment horizontal="left" vertical="center"/>
    </xf>
    <xf numFmtId="0" fontId="11" fillId="23" borderId="8" xfId="0" applyFont="1" applyFill="1" applyBorder="1" applyAlignment="1">
      <alignment horizontal="center" vertical="center"/>
    </xf>
    <xf numFmtId="0" fontId="11" fillId="23" borderId="8" xfId="0" applyFont="1" applyFill="1" applyBorder="1">
      <alignment vertical="center"/>
    </xf>
    <xf numFmtId="164" fontId="11" fillId="23" borderId="8" xfId="0" applyNumberFormat="1" applyFont="1" applyFill="1" applyBorder="1">
      <alignment vertical="center"/>
    </xf>
    <xf numFmtId="164" fontId="11" fillId="23" borderId="9" xfId="0" applyNumberFormat="1" applyFont="1" applyFill="1" applyBorder="1">
      <alignment vertical="center"/>
    </xf>
    <xf numFmtId="169" fontId="0" fillId="0" borderId="48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9" fontId="0" fillId="0" borderId="23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48" fillId="0" borderId="22" xfId="0" applyFont="1" applyBorder="1" applyAlignment="1">
      <alignment horizontal="center" vertical="center" wrapText="1"/>
    </xf>
    <xf numFmtId="0" fontId="50" fillId="0" borderId="51" xfId="2" applyFont="1" applyBorder="1" applyAlignment="1">
      <alignment horizontal="right" vertical="center"/>
    </xf>
    <xf numFmtId="0" fontId="13" fillId="0" borderId="42" xfId="0" applyFont="1" applyBorder="1" applyAlignment="1">
      <alignment horizontal="center" vertical="center" wrapText="1"/>
    </xf>
    <xf numFmtId="0" fontId="55" fillId="0" borderId="0" xfId="0" applyFont="1">
      <alignment vertical="center"/>
    </xf>
    <xf numFmtId="0" fontId="56" fillId="0" borderId="42" xfId="0" applyFont="1" applyBorder="1" applyAlignment="1">
      <alignment horizontal="center" vertical="center" wrapText="1"/>
    </xf>
    <xf numFmtId="166" fontId="50" fillId="31" borderId="15" xfId="0" applyNumberFormat="1" applyFont="1" applyFill="1" applyBorder="1" applyAlignment="1">
      <alignment horizontal="center" vertical="center"/>
    </xf>
    <xf numFmtId="166" fontId="50" fillId="31" borderId="16" xfId="0" applyNumberFormat="1" applyFont="1" applyFill="1" applyBorder="1" applyAlignment="1">
      <alignment horizontal="center" vertical="center"/>
    </xf>
    <xf numFmtId="166" fontId="50" fillId="31" borderId="40" xfId="0" applyNumberFormat="1" applyFont="1" applyFill="1" applyBorder="1" applyAlignment="1">
      <alignment horizontal="center" vertical="center"/>
    </xf>
    <xf numFmtId="169" fontId="50" fillId="31" borderId="15" xfId="0" applyNumberFormat="1" applyFont="1" applyFill="1" applyBorder="1" applyAlignment="1">
      <alignment horizontal="center" vertical="center"/>
    </xf>
    <xf numFmtId="169" fontId="50" fillId="31" borderId="40" xfId="0" applyNumberFormat="1" applyFont="1" applyFill="1" applyBorder="1" applyAlignment="1">
      <alignment horizontal="center" vertical="center"/>
    </xf>
    <xf numFmtId="166" fontId="50" fillId="31" borderId="18" xfId="0" applyNumberFormat="1" applyFont="1" applyFill="1" applyBorder="1" applyAlignment="1">
      <alignment horizontal="center" vertical="center"/>
    </xf>
    <xf numFmtId="166" fontId="50" fillId="31" borderId="17" xfId="0" applyNumberFormat="1" applyFont="1" applyFill="1" applyBorder="1" applyAlignment="1">
      <alignment horizontal="center" vertical="center"/>
    </xf>
    <xf numFmtId="166" fontId="50" fillId="31" borderId="28" xfId="0" applyNumberFormat="1" applyFont="1" applyFill="1" applyBorder="1" applyAlignment="1">
      <alignment horizontal="center" vertical="center"/>
    </xf>
    <xf numFmtId="166" fontId="50" fillId="31" borderId="19" xfId="0" applyNumberFormat="1" applyFont="1" applyFill="1" applyBorder="1" applyAlignment="1">
      <alignment horizontal="center" vertical="center"/>
    </xf>
    <xf numFmtId="166" fontId="50" fillId="31" borderId="20" xfId="0" applyNumberFormat="1" applyFont="1" applyFill="1" applyBorder="1" applyAlignment="1">
      <alignment horizontal="center" vertical="center"/>
    </xf>
    <xf numFmtId="166" fontId="50" fillId="31" borderId="32" xfId="0" applyNumberFormat="1" applyFont="1" applyFill="1" applyBorder="1" applyAlignment="1">
      <alignment horizontal="center" vertical="center"/>
    </xf>
    <xf numFmtId="169" fontId="50" fillId="31" borderId="18" xfId="0" applyNumberFormat="1" applyFont="1" applyFill="1" applyBorder="1" applyAlignment="1">
      <alignment horizontal="center" vertical="center"/>
    </xf>
    <xf numFmtId="169" fontId="50" fillId="31" borderId="19" xfId="0" applyNumberFormat="1" applyFont="1" applyFill="1" applyBorder="1" applyAlignment="1">
      <alignment horizontal="center" vertical="center"/>
    </xf>
    <xf numFmtId="169" fontId="50" fillId="31" borderId="28" xfId="0" applyNumberFormat="1" applyFont="1" applyFill="1" applyBorder="1" applyAlignment="1">
      <alignment horizontal="center" vertical="center"/>
    </xf>
    <xf numFmtId="169" fontId="50" fillId="31" borderId="32" xfId="0" applyNumberFormat="1" applyFont="1" applyFill="1" applyBorder="1" applyAlignment="1">
      <alignment horizontal="center" vertical="center"/>
    </xf>
    <xf numFmtId="169" fontId="50" fillId="31" borderId="50" xfId="0" applyNumberFormat="1" applyFont="1" applyFill="1" applyBorder="1" applyAlignment="1">
      <alignment horizontal="center" vertical="center"/>
    </xf>
    <xf numFmtId="169" fontId="50" fillId="31" borderId="43" xfId="0" applyNumberFormat="1" applyFont="1" applyFill="1" applyBorder="1" applyAlignment="1">
      <alignment horizontal="center" vertical="center"/>
    </xf>
    <xf numFmtId="169" fontId="50" fillId="31" borderId="57" xfId="0" applyNumberFormat="1" applyFont="1" applyFill="1" applyBorder="1" applyAlignment="1">
      <alignment horizontal="center" vertical="center"/>
    </xf>
    <xf numFmtId="168" fontId="50" fillId="8" borderId="50" xfId="2" applyNumberFormat="1" applyFont="1" applyFill="1" applyBorder="1" applyAlignment="1">
      <alignment horizontal="center" vertical="center"/>
    </xf>
    <xf numFmtId="166" fontId="13" fillId="8" borderId="15" xfId="0" applyNumberFormat="1" applyFont="1" applyFill="1" applyBorder="1" applyAlignment="1">
      <alignment horizontal="center" vertical="center"/>
    </xf>
    <xf numFmtId="166" fontId="13" fillId="8" borderId="16" xfId="0" applyNumberFormat="1" applyFont="1" applyFill="1" applyBorder="1" applyAlignment="1">
      <alignment horizontal="center" vertical="center"/>
    </xf>
    <xf numFmtId="166" fontId="13" fillId="8" borderId="40" xfId="0" applyNumberFormat="1" applyFont="1" applyFill="1" applyBorder="1" applyAlignment="1">
      <alignment horizontal="center" vertical="center"/>
    </xf>
    <xf numFmtId="169" fontId="13" fillId="8" borderId="15" xfId="0" applyNumberFormat="1" applyFont="1" applyFill="1" applyBorder="1" applyAlignment="1">
      <alignment horizontal="center" vertical="center"/>
    </xf>
    <xf numFmtId="169" fontId="13" fillId="8" borderId="40" xfId="0" applyNumberFormat="1" applyFont="1" applyFill="1" applyBorder="1" applyAlignment="1">
      <alignment horizontal="center" vertical="center"/>
    </xf>
    <xf numFmtId="169" fontId="13" fillId="8" borderId="50" xfId="0" applyNumberFormat="1" applyFont="1" applyFill="1" applyBorder="1" applyAlignment="1">
      <alignment horizontal="center" vertical="center"/>
    </xf>
    <xf numFmtId="0" fontId="0" fillId="0" borderId="47" xfId="0" applyBorder="1">
      <alignment vertical="center"/>
    </xf>
    <xf numFmtId="0" fontId="0" fillId="0" borderId="23" xfId="0" applyBorder="1">
      <alignment vertical="center"/>
    </xf>
    <xf numFmtId="0" fontId="0" fillId="0" borderId="23" xfId="0" applyBorder="1" applyAlignment="1">
      <alignment horizontal="center" vertical="center"/>
    </xf>
    <xf numFmtId="0" fontId="0" fillId="0" borderId="3" xfId="0" applyBorder="1">
      <alignment vertical="center"/>
    </xf>
    <xf numFmtId="166" fontId="3" fillId="0" borderId="23" xfId="0" applyNumberFormat="1" applyFont="1" applyBorder="1" applyAlignment="1">
      <alignment horizontal="center" vertical="center"/>
    </xf>
    <xf numFmtId="166" fontId="0" fillId="0" borderId="23" xfId="0" applyNumberFormat="1" applyBorder="1" applyAlignment="1">
      <alignment horizontal="center" vertical="center"/>
    </xf>
    <xf numFmtId="1" fontId="0" fillId="0" borderId="23" xfId="0" applyNumberFormat="1" applyBorder="1" applyAlignment="1">
      <alignment horizontal="center" vertical="center"/>
    </xf>
    <xf numFmtId="0" fontId="3" fillId="0" borderId="5" xfId="0" applyFont="1" applyBorder="1">
      <alignment vertical="center"/>
    </xf>
    <xf numFmtId="169" fontId="13" fillId="8" borderId="18" xfId="0" applyNumberFormat="1" applyFont="1" applyFill="1" applyBorder="1" applyAlignment="1">
      <alignment horizontal="center" vertical="center"/>
    </xf>
    <xf numFmtId="169" fontId="13" fillId="8" borderId="49" xfId="0" applyNumberFormat="1" applyFont="1" applyFill="1" applyBorder="1" applyAlignment="1">
      <alignment horizontal="center" vertical="center"/>
    </xf>
    <xf numFmtId="169" fontId="52" fillId="8" borderId="58" xfId="0" applyNumberFormat="1" applyFont="1" applyFill="1" applyBorder="1" applyAlignment="1">
      <alignment horizontal="center" vertical="center"/>
    </xf>
    <xf numFmtId="169" fontId="52" fillId="8" borderId="59" xfId="0" applyNumberFormat="1" applyFont="1" applyFill="1" applyBorder="1" applyAlignment="1">
      <alignment horizontal="center" vertical="center"/>
    </xf>
    <xf numFmtId="169" fontId="13" fillId="8" borderId="19" xfId="0" applyNumberFormat="1" applyFont="1" applyFill="1" applyBorder="1" applyAlignment="1">
      <alignment horizontal="center" vertical="center"/>
    </xf>
    <xf numFmtId="169" fontId="13" fillId="8" borderId="56" xfId="0" applyNumberFormat="1" applyFont="1" applyFill="1" applyBorder="1" applyAlignment="1">
      <alignment horizontal="center" vertical="center"/>
    </xf>
    <xf numFmtId="0" fontId="13" fillId="20" borderId="7" xfId="0" applyFont="1" applyFill="1" applyBorder="1">
      <alignment vertical="center"/>
    </xf>
    <xf numFmtId="0" fontId="13" fillId="20" borderId="8" xfId="0" applyFont="1" applyFill="1" applyBorder="1">
      <alignment vertical="center"/>
    </xf>
    <xf numFmtId="0" fontId="13" fillId="20" borderId="9" xfId="0" applyFont="1" applyFill="1" applyBorder="1">
      <alignment vertical="center"/>
    </xf>
    <xf numFmtId="0" fontId="57" fillId="0" borderId="0" xfId="0" applyFont="1">
      <alignment vertical="center"/>
    </xf>
    <xf numFmtId="0" fontId="19" fillId="8" borderId="47" xfId="0" applyFont="1" applyFill="1" applyBorder="1" applyAlignment="1">
      <alignment horizontal="left" vertical="center"/>
    </xf>
    <xf numFmtId="0" fontId="19" fillId="8" borderId="23" xfId="0" applyFont="1" applyFill="1" applyBorder="1" applyAlignment="1">
      <alignment horizontal="left" vertical="center"/>
    </xf>
    <xf numFmtId="0" fontId="19" fillId="8" borderId="48" xfId="0" applyFont="1" applyFill="1" applyBorder="1" applyAlignment="1">
      <alignment horizontal="left" vertical="center"/>
    </xf>
    <xf numFmtId="0" fontId="50" fillId="0" borderId="2" xfId="0" applyFont="1" applyBorder="1">
      <alignment vertical="center"/>
    </xf>
    <xf numFmtId="0" fontId="50" fillId="0" borderId="3" xfId="0" applyFont="1" applyBorder="1">
      <alignment vertical="center"/>
    </xf>
    <xf numFmtId="0" fontId="49" fillId="0" borderId="0" xfId="0" applyFont="1" applyAlignment="1">
      <alignment horizontal="center" vertical="center"/>
    </xf>
    <xf numFmtId="0" fontId="49" fillId="0" borderId="0" xfId="0" applyFont="1">
      <alignment vertical="center"/>
    </xf>
    <xf numFmtId="0" fontId="13" fillId="0" borderId="0" xfId="0" applyFont="1">
      <alignment vertical="center"/>
    </xf>
    <xf numFmtId="0" fontId="13" fillId="8" borderId="0" xfId="0" applyFont="1" applyFill="1" applyAlignment="1">
      <alignment horizontal="left" vertical="center"/>
    </xf>
    <xf numFmtId="0" fontId="50" fillId="0" borderId="4" xfId="0" applyFont="1" applyBorder="1">
      <alignment vertical="center"/>
    </xf>
    <xf numFmtId="0" fontId="50" fillId="0" borderId="6" xfId="0" applyFont="1" applyBorder="1">
      <alignment vertical="center"/>
    </xf>
    <xf numFmtId="0" fontId="15" fillId="20" borderId="23" xfId="0" applyFont="1" applyFill="1" applyBorder="1" applyAlignment="1">
      <alignment horizontal="left" vertical="center"/>
    </xf>
    <xf numFmtId="0" fontId="15" fillId="20" borderId="48" xfId="0" applyFont="1" applyFill="1" applyBorder="1" applyAlignment="1">
      <alignment horizontal="left" vertical="center"/>
    </xf>
    <xf numFmtId="0" fontId="19" fillId="20" borderId="47" xfId="0" applyFont="1" applyFill="1" applyBorder="1" applyAlignment="1">
      <alignment horizontal="left" vertical="center"/>
    </xf>
    <xf numFmtId="0" fontId="13" fillId="8" borderId="23" xfId="0" applyFont="1" applyFill="1" applyBorder="1" applyAlignment="1">
      <alignment horizontal="left" vertical="center"/>
    </xf>
    <xf numFmtId="0" fontId="13" fillId="8" borderId="48" xfId="0" applyFont="1" applyFill="1" applyBorder="1" applyAlignment="1">
      <alignment horizontal="left" vertical="center"/>
    </xf>
    <xf numFmtId="166" fontId="50" fillId="0" borderId="18" xfId="0" applyNumberFormat="1" applyFont="1" applyBorder="1" applyAlignment="1">
      <alignment horizontal="center" vertical="center"/>
    </xf>
    <xf numFmtId="166" fontId="50" fillId="0" borderId="17" xfId="0" applyNumberFormat="1" applyFont="1" applyBorder="1" applyAlignment="1">
      <alignment horizontal="center" vertical="center"/>
    </xf>
    <xf numFmtId="166" fontId="50" fillId="0" borderId="28" xfId="0" applyNumberFormat="1" applyFont="1" applyBorder="1" applyAlignment="1">
      <alignment horizontal="center" vertical="center"/>
    </xf>
    <xf numFmtId="169" fontId="50" fillId="0" borderId="18" xfId="0" applyNumberFormat="1" applyFont="1" applyBorder="1" applyAlignment="1">
      <alignment horizontal="center" vertical="center"/>
    </xf>
    <xf numFmtId="169" fontId="50" fillId="0" borderId="28" xfId="0" applyNumberFormat="1" applyFont="1" applyBorder="1" applyAlignment="1">
      <alignment horizontal="center" vertical="center"/>
    </xf>
    <xf numFmtId="169" fontId="50" fillId="0" borderId="43" xfId="0" applyNumberFormat="1" applyFont="1" applyBorder="1" applyAlignment="1">
      <alignment horizontal="center" vertical="center"/>
    </xf>
    <xf numFmtId="166" fontId="50" fillId="0" borderId="19" xfId="0" applyNumberFormat="1" applyFont="1" applyBorder="1" applyAlignment="1">
      <alignment horizontal="center" vertical="center"/>
    </xf>
    <xf numFmtId="166" fontId="50" fillId="0" borderId="20" xfId="0" applyNumberFormat="1" applyFont="1" applyBorder="1" applyAlignment="1">
      <alignment horizontal="center" vertical="center"/>
    </xf>
    <xf numFmtId="166" fontId="50" fillId="0" borderId="32" xfId="0" applyNumberFormat="1" applyFont="1" applyBorder="1" applyAlignment="1">
      <alignment horizontal="center" vertical="center"/>
    </xf>
    <xf numFmtId="169" fontId="50" fillId="0" borderId="19" xfId="0" applyNumberFormat="1" applyFont="1" applyBorder="1" applyAlignment="1">
      <alignment horizontal="center" vertical="center"/>
    </xf>
    <xf numFmtId="169" fontId="50" fillId="0" borderId="32" xfId="0" applyNumberFormat="1" applyFont="1" applyBorder="1" applyAlignment="1">
      <alignment horizontal="center" vertical="center"/>
    </xf>
    <xf numFmtId="169" fontId="50" fillId="0" borderId="57" xfId="0" applyNumberFormat="1" applyFont="1" applyBorder="1" applyAlignment="1">
      <alignment horizontal="center" vertical="center"/>
    </xf>
    <xf numFmtId="166" fontId="50" fillId="0" borderId="15" xfId="0" applyNumberFormat="1" applyFont="1" applyBorder="1" applyAlignment="1">
      <alignment horizontal="center" vertical="center"/>
    </xf>
    <xf numFmtId="166" fontId="50" fillId="0" borderId="16" xfId="0" applyNumberFormat="1" applyFont="1" applyBorder="1" applyAlignment="1">
      <alignment horizontal="center" vertical="center"/>
    </xf>
    <xf numFmtId="166" fontId="50" fillId="0" borderId="40" xfId="0" applyNumberFormat="1" applyFont="1" applyBorder="1" applyAlignment="1">
      <alignment horizontal="center" vertical="center"/>
    </xf>
    <xf numFmtId="169" fontId="50" fillId="0" borderId="15" xfId="0" applyNumberFormat="1" applyFont="1" applyBorder="1" applyAlignment="1">
      <alignment horizontal="center" vertical="center"/>
    </xf>
    <xf numFmtId="169" fontId="50" fillId="0" borderId="40" xfId="0" applyNumberFormat="1" applyFont="1" applyBorder="1" applyAlignment="1">
      <alignment horizontal="center" vertical="center"/>
    </xf>
    <xf numFmtId="169" fontId="50" fillId="0" borderId="50" xfId="0" applyNumberFormat="1" applyFont="1" applyBorder="1" applyAlignment="1">
      <alignment horizontal="center" vertical="center"/>
    </xf>
    <xf numFmtId="164" fontId="4" fillId="10" borderId="21" xfId="0" applyNumberFormat="1" applyFont="1" applyFill="1" applyBorder="1" applyAlignment="1">
      <alignment horizontal="center" vertical="center"/>
    </xf>
    <xf numFmtId="0" fontId="50" fillId="0" borderId="1" xfId="0" applyFont="1" applyBorder="1">
      <alignment vertical="center"/>
    </xf>
    <xf numFmtId="0" fontId="13" fillId="0" borderId="1" xfId="0" applyFont="1" applyBorder="1">
      <alignment vertical="center"/>
    </xf>
    <xf numFmtId="166" fontId="50" fillId="0" borderId="1" xfId="0" applyNumberFormat="1" applyFont="1" applyBorder="1">
      <alignment vertical="center"/>
    </xf>
    <xf numFmtId="166" fontId="13" fillId="0" borderId="1" xfId="0" applyNumberFormat="1" applyFont="1" applyBorder="1">
      <alignment vertical="center"/>
    </xf>
    <xf numFmtId="0" fontId="19" fillId="8" borderId="8" xfId="0" applyFont="1" applyFill="1" applyBorder="1" applyAlignment="1">
      <alignment horizontal="left" vertical="center"/>
    </xf>
    <xf numFmtId="0" fontId="19" fillId="8" borderId="8" xfId="0" applyFont="1" applyFill="1" applyBorder="1" applyAlignment="1">
      <alignment horizontal="center" vertical="center"/>
    </xf>
    <xf numFmtId="0" fontId="19" fillId="8" borderId="7" xfId="0" applyFont="1" applyFill="1" applyBorder="1" applyAlignment="1">
      <alignment horizontal="center" vertical="center"/>
    </xf>
    <xf numFmtId="0" fontId="19" fillId="8" borderId="9" xfId="0" applyFont="1" applyFill="1" applyBorder="1" applyAlignment="1">
      <alignment horizontal="center" vertical="center"/>
    </xf>
    <xf numFmtId="0" fontId="19" fillId="8" borderId="8" xfId="0" applyFont="1" applyFill="1" applyBorder="1" applyAlignment="1">
      <alignment horizontal="right" vertical="center"/>
    </xf>
    <xf numFmtId="49" fontId="53" fillId="8" borderId="8" xfId="0" applyNumberFormat="1" applyFont="1" applyFill="1" applyBorder="1" applyAlignment="1">
      <alignment horizontal="center" vertical="center"/>
    </xf>
    <xf numFmtId="0" fontId="53" fillId="8" borderId="8" xfId="0" applyFont="1" applyFill="1" applyBorder="1" applyAlignment="1">
      <alignment horizontal="center" vertical="center"/>
    </xf>
    <xf numFmtId="49" fontId="53" fillId="8" borderId="8" xfId="0" applyNumberFormat="1" applyFont="1" applyFill="1" applyBorder="1" applyAlignment="1">
      <alignment horizontal="left" vertical="center"/>
    </xf>
    <xf numFmtId="164" fontId="0" fillId="32" borderId="26" xfId="0" applyNumberFormat="1" applyFill="1" applyBorder="1" applyAlignment="1">
      <alignment horizontal="left" vertical="center"/>
    </xf>
    <xf numFmtId="164" fontId="0" fillId="32" borderId="14" xfId="0" applyNumberFormat="1" applyFill="1" applyBorder="1" applyAlignment="1">
      <alignment horizontal="left" vertical="center"/>
    </xf>
    <xf numFmtId="164" fontId="0" fillId="32" borderId="41" xfId="0" applyNumberFormat="1" applyFill="1" applyBorder="1" applyAlignment="1">
      <alignment horizontal="left" vertical="center"/>
    </xf>
    <xf numFmtId="1" fontId="0" fillId="32" borderId="26" xfId="0" applyNumberFormat="1" applyFill="1" applyBorder="1" applyAlignment="1">
      <alignment horizontal="center" vertical="center"/>
    </xf>
    <xf numFmtId="164" fontId="0" fillId="32" borderId="14" xfId="0" applyNumberFormat="1" applyFill="1" applyBorder="1" applyAlignment="1">
      <alignment horizontal="center" vertical="center"/>
    </xf>
    <xf numFmtId="1" fontId="0" fillId="3" borderId="0" xfId="0" applyNumberFormat="1" applyFill="1" applyAlignment="1">
      <alignment horizontal="center" vertical="center"/>
    </xf>
    <xf numFmtId="0" fontId="3" fillId="12" borderId="11" xfId="0" applyFont="1" applyFill="1" applyBorder="1">
      <alignment vertical="center"/>
    </xf>
    <xf numFmtId="1" fontId="0" fillId="3" borderId="14" xfId="0" applyNumberFormat="1" applyFill="1" applyBorder="1" applyAlignment="1">
      <alignment horizontal="center" vertical="center"/>
    </xf>
    <xf numFmtId="2" fontId="4" fillId="10" borderId="32" xfId="0" applyNumberFormat="1" applyFont="1" applyFill="1" applyBorder="1" applyAlignment="1">
      <alignment horizontal="center" vertical="center"/>
    </xf>
    <xf numFmtId="1" fontId="0" fillId="32" borderId="51" xfId="0" applyNumberFormat="1" applyFill="1" applyBorder="1" applyAlignment="1">
      <alignment horizontal="center" vertical="center"/>
    </xf>
    <xf numFmtId="1" fontId="0" fillId="32" borderId="27" xfId="0" applyNumberFormat="1" applyFill="1" applyBorder="1" applyAlignment="1">
      <alignment horizontal="center" vertical="center"/>
    </xf>
    <xf numFmtId="1" fontId="0" fillId="32" borderId="52" xfId="0" applyNumberFormat="1" applyFill="1" applyBorder="1" applyAlignment="1">
      <alignment horizontal="center" vertical="center"/>
    </xf>
    <xf numFmtId="49" fontId="2" fillId="3" borderId="1" xfId="1" applyNumberFormat="1" applyFont="1" applyFill="1" applyBorder="1" applyAlignment="1">
      <alignment horizontal="center" vertical="center"/>
    </xf>
    <xf numFmtId="49" fontId="2" fillId="3" borderId="1" xfId="1" applyNumberFormat="1" applyFont="1" applyFill="1" applyBorder="1" applyAlignment="1">
      <alignment horizontal="center" vertical="center" wrapText="1"/>
    </xf>
    <xf numFmtId="166" fontId="1" fillId="4" borderId="1" xfId="1" applyNumberFormat="1" applyFill="1" applyBorder="1" applyAlignment="1">
      <alignment horizontal="center" vertical="center"/>
    </xf>
    <xf numFmtId="0" fontId="1" fillId="4" borderId="1" xfId="1" applyFill="1" applyBorder="1" applyAlignment="1">
      <alignment horizontal="center" vertical="center"/>
    </xf>
    <xf numFmtId="0" fontId="1" fillId="0" borderId="1" xfId="1" applyBorder="1" applyAlignment="1">
      <alignment vertical="center" wrapText="1"/>
    </xf>
    <xf numFmtId="0" fontId="1" fillId="3" borderId="1" xfId="1" applyFill="1" applyBorder="1" applyAlignment="1">
      <alignment horizontal="center" vertical="center"/>
    </xf>
    <xf numFmtId="164" fontId="1" fillId="4" borderId="1" xfId="1" applyNumberFormat="1" applyFill="1" applyBorder="1" applyAlignment="1">
      <alignment horizontal="center" vertical="center"/>
    </xf>
    <xf numFmtId="0" fontId="2" fillId="4" borderId="1" xfId="1" applyFont="1" applyFill="1" applyBorder="1" applyAlignment="1">
      <alignment horizontal="center" vertical="center"/>
    </xf>
    <xf numFmtId="0" fontId="1" fillId="0" borderId="1" xfId="1" applyBorder="1" applyAlignment="1">
      <alignment vertical="center"/>
    </xf>
    <xf numFmtId="164" fontId="1" fillId="3" borderId="1" xfId="1" applyNumberFormat="1" applyFill="1" applyBorder="1" applyAlignment="1">
      <alignment horizontal="center" vertical="center"/>
    </xf>
    <xf numFmtId="164" fontId="16" fillId="4" borderId="1" xfId="1" applyNumberFormat="1" applyFont="1" applyFill="1" applyBorder="1" applyAlignment="1">
      <alignment horizontal="center" vertical="center"/>
    </xf>
    <xf numFmtId="164" fontId="16" fillId="3" borderId="1" xfId="1" applyNumberFormat="1" applyFont="1" applyFill="1" applyBorder="1" applyAlignment="1">
      <alignment horizontal="center" vertical="center"/>
    </xf>
    <xf numFmtId="0" fontId="1" fillId="8" borderId="0" xfId="1" applyFill="1" applyAlignment="1">
      <alignment vertical="center" wrapText="1"/>
    </xf>
    <xf numFmtId="0" fontId="15" fillId="23" borderId="47" xfId="1" applyFont="1" applyFill="1" applyBorder="1" applyAlignment="1">
      <alignment vertical="center"/>
    </xf>
    <xf numFmtId="0" fontId="15" fillId="23" borderId="23" xfId="1" applyFont="1" applyFill="1" applyBorder="1" applyAlignment="1">
      <alignment vertical="center"/>
    </xf>
    <xf numFmtId="0" fontId="1" fillId="23" borderId="23" xfId="1" applyFill="1" applyBorder="1" applyAlignment="1">
      <alignment vertical="center"/>
    </xf>
    <xf numFmtId="0" fontId="1" fillId="23" borderId="23" xfId="1" applyFill="1" applyBorder="1" applyAlignment="1">
      <alignment horizontal="center" vertical="center"/>
    </xf>
    <xf numFmtId="0" fontId="1" fillId="23" borderId="23" xfId="1" applyFill="1" applyBorder="1" applyAlignment="1">
      <alignment horizontal="left" vertical="center"/>
    </xf>
    <xf numFmtId="0" fontId="1" fillId="23" borderId="48" xfId="1" applyFill="1" applyBorder="1" applyAlignment="1">
      <alignment vertical="center"/>
    </xf>
    <xf numFmtId="0" fontId="1" fillId="3" borderId="2" xfId="1" applyFill="1" applyBorder="1" applyAlignment="1">
      <alignment horizontal="left" vertical="center"/>
    </xf>
    <xf numFmtId="0" fontId="1" fillId="3" borderId="0" xfId="1" applyFill="1" applyAlignment="1">
      <alignment horizontal="left" vertical="center"/>
    </xf>
    <xf numFmtId="0" fontId="1" fillId="3" borderId="0" xfId="1" applyFill="1" applyAlignment="1">
      <alignment vertical="center"/>
    </xf>
    <xf numFmtId="0" fontId="1" fillId="3" borderId="0" xfId="1" applyFill="1" applyAlignment="1">
      <alignment horizontal="center" vertical="center"/>
    </xf>
    <xf numFmtId="0" fontId="1" fillId="3" borderId="3" xfId="1" applyFill="1" applyBorder="1" applyAlignment="1">
      <alignment vertical="center"/>
    </xf>
    <xf numFmtId="0" fontId="1" fillId="5" borderId="0" xfId="1" applyFill="1" applyAlignment="1">
      <alignment vertical="center"/>
    </xf>
    <xf numFmtId="0" fontId="1" fillId="5" borderId="0" xfId="1" applyFill="1" applyAlignment="1">
      <alignment horizontal="left" vertical="center"/>
    </xf>
    <xf numFmtId="0" fontId="1" fillId="5" borderId="3" xfId="1" applyFill="1" applyBorder="1" applyAlignment="1">
      <alignment vertical="center"/>
    </xf>
    <xf numFmtId="0" fontId="1" fillId="7" borderId="2" xfId="1" applyFill="1" applyBorder="1" applyAlignment="1">
      <alignment vertical="center"/>
    </xf>
    <xf numFmtId="0" fontId="1" fillId="7" borderId="0" xfId="1" applyFill="1" applyAlignment="1">
      <alignment vertical="center"/>
    </xf>
    <xf numFmtId="0" fontId="1" fillId="7" borderId="0" xfId="1" applyFill="1" applyAlignment="1">
      <alignment horizontal="center" vertical="center"/>
    </xf>
    <xf numFmtId="0" fontId="1" fillId="7" borderId="0" xfId="1" applyFill="1" applyAlignment="1">
      <alignment horizontal="left" vertical="center"/>
    </xf>
    <xf numFmtId="0" fontId="1" fillId="7" borderId="3" xfId="1" applyFill="1" applyBorder="1" applyAlignment="1">
      <alignment vertical="center"/>
    </xf>
    <xf numFmtId="0" fontId="1" fillId="0" borderId="2" xfId="1" applyBorder="1" applyAlignment="1">
      <alignment vertical="center"/>
    </xf>
    <xf numFmtId="0" fontId="1" fillId="0" borderId="3" xfId="1" applyBorder="1" applyAlignment="1">
      <alignment vertical="center"/>
    </xf>
    <xf numFmtId="0" fontId="2" fillId="8" borderId="2" xfId="1" applyFont="1" applyFill="1" applyBorder="1" applyAlignment="1">
      <alignment vertical="center"/>
    </xf>
    <xf numFmtId="0" fontId="2" fillId="8" borderId="0" xfId="1" applyFont="1" applyFill="1" applyAlignment="1">
      <alignment vertical="center"/>
    </xf>
    <xf numFmtId="0" fontId="1" fillId="8" borderId="0" xfId="1" applyFill="1" applyAlignment="1">
      <alignment vertical="center"/>
    </xf>
    <xf numFmtId="0" fontId="1" fillId="8" borderId="0" xfId="1" applyFill="1" applyAlignment="1">
      <alignment horizontal="center" vertical="center"/>
    </xf>
    <xf numFmtId="0" fontId="2" fillId="8" borderId="0" xfId="1" applyFont="1" applyFill="1" applyAlignment="1">
      <alignment horizontal="center" vertical="center"/>
    </xf>
    <xf numFmtId="0" fontId="1" fillId="8" borderId="0" xfId="1" applyFill="1" applyAlignment="1">
      <alignment horizontal="left" vertical="center"/>
    </xf>
    <xf numFmtId="0" fontId="2" fillId="2" borderId="2" xfId="1" applyFont="1" applyFill="1" applyBorder="1" applyAlignment="1">
      <alignment vertical="center"/>
    </xf>
    <xf numFmtId="0" fontId="2" fillId="2" borderId="0" xfId="1" applyFont="1" applyFill="1" applyAlignment="1">
      <alignment vertical="center"/>
    </xf>
    <xf numFmtId="0" fontId="1" fillId="2" borderId="2" xfId="1" applyFill="1" applyBorder="1" applyAlignment="1">
      <alignment vertical="center"/>
    </xf>
    <xf numFmtId="0" fontId="1" fillId="2" borderId="0" xfId="1" quotePrefix="1" applyFill="1" applyAlignment="1">
      <alignment vertical="center"/>
    </xf>
    <xf numFmtId="0" fontId="1" fillId="2" borderId="0" xfId="1" applyFill="1" applyAlignment="1">
      <alignment vertical="center"/>
    </xf>
    <xf numFmtId="166" fontId="1" fillId="5" borderId="0" xfId="1" applyNumberFormat="1" applyFill="1" applyAlignment="1">
      <alignment horizontal="center" vertical="center"/>
    </xf>
    <xf numFmtId="1" fontId="1" fillId="5" borderId="0" xfId="1" applyNumberFormat="1" applyFill="1" applyAlignment="1">
      <alignment horizontal="center" vertical="center"/>
    </xf>
    <xf numFmtId="166" fontId="1" fillId="7" borderId="0" xfId="1" applyNumberFormat="1" applyFill="1" applyAlignment="1">
      <alignment horizontal="center" vertical="center"/>
    </xf>
    <xf numFmtId="0" fontId="1" fillId="0" borderId="0" xfId="1" quotePrefix="1" applyAlignment="1">
      <alignment vertical="center"/>
    </xf>
    <xf numFmtId="166" fontId="1" fillId="0" borderId="0" xfId="1" applyNumberFormat="1" applyAlignment="1">
      <alignment horizontal="center" vertical="center"/>
    </xf>
    <xf numFmtId="169" fontId="1" fillId="0" borderId="0" xfId="1" applyNumberFormat="1" applyAlignment="1">
      <alignment horizontal="center" vertical="center"/>
    </xf>
    <xf numFmtId="166" fontId="2" fillId="0" borderId="0" xfId="1" applyNumberFormat="1" applyFont="1" applyAlignment="1">
      <alignment horizontal="center" vertical="center"/>
    </xf>
    <xf numFmtId="0" fontId="2" fillId="21" borderId="2" xfId="1" applyFont="1" applyFill="1" applyBorder="1" applyAlignment="1">
      <alignment vertical="center"/>
    </xf>
    <xf numFmtId="0" fontId="2" fillId="21" borderId="0" xfId="1" applyFont="1" applyFill="1" applyAlignment="1">
      <alignment vertical="center"/>
    </xf>
    <xf numFmtId="0" fontId="1" fillId="21" borderId="0" xfId="1" applyFill="1" applyAlignment="1">
      <alignment horizontal="center" vertical="center"/>
    </xf>
    <xf numFmtId="49" fontId="2" fillId="21" borderId="0" xfId="1" applyNumberFormat="1" applyFont="1" applyFill="1" applyAlignment="1">
      <alignment horizontal="center" vertical="center"/>
    </xf>
    <xf numFmtId="0" fontId="1" fillId="21" borderId="0" xfId="1" applyFill="1" applyAlignment="1">
      <alignment horizontal="left" vertical="center"/>
    </xf>
    <xf numFmtId="0" fontId="1" fillId="6" borderId="2" xfId="1" applyFill="1" applyBorder="1" applyAlignment="1">
      <alignment vertical="center"/>
    </xf>
    <xf numFmtId="0" fontId="2" fillId="2" borderId="0" xfId="1" applyFont="1" applyFill="1" applyAlignment="1">
      <alignment horizontal="center" vertical="center"/>
    </xf>
    <xf numFmtId="0" fontId="1" fillId="21" borderId="2" xfId="1" applyFill="1" applyBorder="1" applyAlignment="1">
      <alignment vertical="center"/>
    </xf>
    <xf numFmtId="0" fontId="1" fillId="21" borderId="3" xfId="1" applyFill="1" applyBorder="1" applyAlignment="1">
      <alignment vertical="center"/>
    </xf>
    <xf numFmtId="0" fontId="2" fillId="6" borderId="0" xfId="1" applyFont="1" applyFill="1" applyAlignment="1">
      <alignment horizontal="center" vertical="center"/>
    </xf>
    <xf numFmtId="0" fontId="2" fillId="6" borderId="0" xfId="1" applyFont="1" applyFill="1" applyAlignment="1">
      <alignment vertical="center"/>
    </xf>
    <xf numFmtId="164" fontId="58" fillId="21" borderId="0" xfId="1" applyNumberFormat="1" applyFont="1" applyFill="1" applyAlignment="1">
      <alignment horizontal="left" vertical="center"/>
    </xf>
    <xf numFmtId="164" fontId="1" fillId="5" borderId="0" xfId="1" applyNumberFormat="1" applyFill="1" applyAlignment="1">
      <alignment horizontal="center" vertical="center"/>
    </xf>
    <xf numFmtId="0" fontId="58" fillId="0" borderId="0" xfId="1" applyFont="1" applyAlignment="1">
      <alignment horizontal="left" vertical="center"/>
    </xf>
    <xf numFmtId="0" fontId="58" fillId="21" borderId="0" xfId="1" applyFont="1" applyFill="1" applyAlignment="1">
      <alignment horizontal="left" vertical="center"/>
    </xf>
    <xf numFmtId="0" fontId="1" fillId="6" borderId="0" xfId="1" quotePrefix="1" applyFill="1" applyAlignment="1">
      <alignment vertical="center"/>
    </xf>
    <xf numFmtId="0" fontId="43" fillId="17" borderId="2" xfId="0" applyFont="1" applyFill="1" applyBorder="1">
      <alignment vertical="center"/>
    </xf>
    <xf numFmtId="20" fontId="9" fillId="19" borderId="2" xfId="1" applyNumberFormat="1" applyFont="1" applyFill="1" applyBorder="1" applyAlignment="1">
      <alignment vertical="center"/>
    </xf>
    <xf numFmtId="20" fontId="9" fillId="19" borderId="0" xfId="1" applyNumberFormat="1" applyFont="1" applyFill="1" applyAlignment="1">
      <alignment vertical="center"/>
    </xf>
    <xf numFmtId="0" fontId="9" fillId="19" borderId="0" xfId="1" applyFont="1" applyFill="1" applyAlignment="1">
      <alignment horizontal="center" vertical="center"/>
    </xf>
    <xf numFmtId="0" fontId="8" fillId="19" borderId="2" xfId="1" applyFont="1" applyFill="1" applyBorder="1" applyAlignment="1">
      <alignment vertical="center"/>
    </xf>
    <xf numFmtId="0" fontId="8" fillId="19" borderId="0" xfId="1" applyFont="1" applyFill="1" applyAlignment="1">
      <alignment vertical="center"/>
    </xf>
    <xf numFmtId="0" fontId="1" fillId="0" borderId="4" xfId="1" applyBorder="1" applyAlignment="1">
      <alignment vertical="center"/>
    </xf>
    <xf numFmtId="0" fontId="1" fillId="0" borderId="5" xfId="1" applyBorder="1" applyAlignment="1">
      <alignment vertical="center"/>
    </xf>
    <xf numFmtId="0" fontId="1" fillId="0" borderId="5" xfId="1" applyBorder="1" applyAlignment="1">
      <alignment horizontal="center" vertical="center"/>
    </xf>
    <xf numFmtId="0" fontId="1" fillId="0" borderId="5" xfId="1" applyBorder="1" applyAlignment="1">
      <alignment horizontal="left" vertical="center"/>
    </xf>
    <xf numFmtId="0" fontId="1" fillId="0" borderId="6" xfId="1" applyBorder="1" applyAlignment="1">
      <alignment vertical="center"/>
    </xf>
    <xf numFmtId="20" fontId="2" fillId="8" borderId="2" xfId="1" applyNumberFormat="1" applyFont="1" applyFill="1" applyBorder="1" applyAlignment="1">
      <alignment vertical="center"/>
    </xf>
    <xf numFmtId="20" fontId="2" fillId="8" borderId="0" xfId="1" applyNumberFormat="1" applyFont="1" applyFill="1" applyAlignment="1">
      <alignment vertical="center"/>
    </xf>
    <xf numFmtId="164" fontId="59" fillId="13" borderId="0" xfId="0" applyNumberFormat="1" applyFont="1" applyFill="1" applyAlignment="1">
      <alignment horizontal="left" vertical="center"/>
    </xf>
    <xf numFmtId="0" fontId="60" fillId="2" borderId="0" xfId="1" applyFont="1" applyFill="1" applyAlignment="1">
      <alignment vertical="center"/>
    </xf>
    <xf numFmtId="1" fontId="0" fillId="5" borderId="12" xfId="0" applyNumberFormat="1" applyFill="1" applyBorder="1" applyAlignment="1">
      <alignment horizontal="center" vertical="center"/>
    </xf>
    <xf numFmtId="1" fontId="0" fillId="11" borderId="11" xfId="0" applyNumberFormat="1" applyFill="1" applyBorder="1" applyAlignment="1">
      <alignment horizontal="center" vertical="center"/>
    </xf>
    <xf numFmtId="1" fontId="0" fillId="13" borderId="11" xfId="0" applyNumberFormat="1" applyFill="1" applyBorder="1" applyAlignment="1">
      <alignment horizontal="center" vertical="center"/>
    </xf>
    <xf numFmtId="0" fontId="0" fillId="11" borderId="11" xfId="0" applyFill="1" applyBorder="1" applyAlignment="1">
      <alignment horizontal="center" vertical="center"/>
    </xf>
    <xf numFmtId="164" fontId="0" fillId="11" borderId="11" xfId="0" applyNumberFormat="1" applyFill="1" applyBorder="1" applyAlignment="1">
      <alignment horizontal="center" vertical="center"/>
    </xf>
    <xf numFmtId="0" fontId="0" fillId="13" borderId="11" xfId="0" applyFill="1" applyBorder="1" applyAlignment="1">
      <alignment horizontal="center" vertical="center"/>
    </xf>
    <xf numFmtId="1" fontId="0" fillId="11" borderId="26" xfId="0" applyNumberFormat="1" applyFill="1" applyBorder="1" applyAlignment="1">
      <alignment horizontal="center" vertical="center"/>
    </xf>
    <xf numFmtId="0" fontId="0" fillId="14" borderId="0" xfId="0" applyFill="1" applyAlignment="1">
      <alignment horizontal="left" vertical="center"/>
    </xf>
    <xf numFmtId="0" fontId="37" fillId="0" borderId="0" xfId="4" applyBorder="1" applyAlignment="1">
      <alignment horizontal="left" vertical="center"/>
    </xf>
    <xf numFmtId="1" fontId="11" fillId="22" borderId="25" xfId="0" applyNumberFormat="1" applyFont="1" applyFill="1" applyBorder="1" applyAlignment="1">
      <alignment horizontal="center" vertical="center"/>
    </xf>
    <xf numFmtId="164" fontId="3" fillId="13" borderId="11" xfId="0" applyNumberFormat="1" applyFont="1" applyFill="1" applyBorder="1" applyAlignment="1">
      <alignment horizontal="left" vertical="center"/>
    </xf>
    <xf numFmtId="164" fontId="3" fillId="13" borderId="0" xfId="0" applyNumberFormat="1" applyFont="1" applyFill="1" applyAlignment="1">
      <alignment horizontal="left" vertical="center"/>
    </xf>
    <xf numFmtId="164" fontId="3" fillId="13" borderId="25" xfId="0" applyNumberFormat="1" applyFont="1" applyFill="1" applyBorder="1" applyAlignment="1">
      <alignment horizontal="left" vertical="center"/>
    </xf>
    <xf numFmtId="0" fontId="4" fillId="0" borderId="18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>
      <alignment vertical="center"/>
    </xf>
    <xf numFmtId="0" fontId="6" fillId="17" borderId="1" xfId="0" applyFont="1" applyFill="1" applyBorder="1" applyAlignment="1">
      <alignment horizontal="center" vertical="center"/>
    </xf>
    <xf numFmtId="0" fontId="15" fillId="33" borderId="1" xfId="0" applyFont="1" applyFill="1" applyBorder="1" applyAlignment="1">
      <alignment horizontal="center" vertical="center"/>
    </xf>
    <xf numFmtId="2" fontId="15" fillId="33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>
      <alignment vertical="center"/>
    </xf>
    <xf numFmtId="0" fontId="1" fillId="33" borderId="1" xfId="0" applyFont="1" applyFill="1" applyBorder="1" applyAlignment="1">
      <alignment horizontal="center" vertical="center"/>
    </xf>
    <xf numFmtId="0" fontId="6" fillId="33" borderId="1" xfId="0" applyFont="1" applyFill="1" applyBorder="1" applyAlignment="1">
      <alignment horizontal="center" vertical="center"/>
    </xf>
    <xf numFmtId="2" fontId="6" fillId="33" borderId="1" xfId="0" applyNumberFormat="1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1" xfId="0" applyFont="1" applyBorder="1">
      <alignment vertical="center"/>
    </xf>
    <xf numFmtId="0" fontId="1" fillId="17" borderId="1" xfId="0" applyFont="1" applyFill="1" applyBorder="1" applyAlignment="1">
      <alignment horizontal="center"/>
    </xf>
    <xf numFmtId="0" fontId="61" fillId="33" borderId="1" xfId="5" applyFont="1" applyFill="1" applyBorder="1" applyAlignment="1">
      <alignment horizontal="center" vertical="center"/>
    </xf>
    <xf numFmtId="0" fontId="12" fillId="33" borderId="1" xfId="5" applyFill="1" applyBorder="1" applyAlignment="1">
      <alignment horizontal="center" vertical="center"/>
    </xf>
    <xf numFmtId="0" fontId="62" fillId="33" borderId="1" xfId="0" applyFont="1" applyFill="1" applyBorder="1" applyAlignment="1">
      <alignment horizontal="center" vertical="center"/>
    </xf>
    <xf numFmtId="2" fontId="27" fillId="33" borderId="1" xfId="0" applyNumberFormat="1" applyFont="1" applyFill="1" applyBorder="1" applyAlignment="1">
      <alignment horizontal="center" vertical="center"/>
    </xf>
    <xf numFmtId="2" fontId="62" fillId="33" borderId="1" xfId="0" applyNumberFormat="1" applyFont="1" applyFill="1" applyBorder="1" applyAlignment="1">
      <alignment horizontal="center" vertical="center"/>
    </xf>
    <xf numFmtId="0" fontId="63" fillId="33" borderId="1" xfId="0" applyFont="1" applyFill="1" applyBorder="1" applyAlignment="1">
      <alignment horizontal="center" vertical="center"/>
    </xf>
    <xf numFmtId="0" fontId="16" fillId="33" borderId="1" xfId="0" applyFont="1" applyFill="1" applyBorder="1" applyAlignment="1">
      <alignment horizontal="center" vertical="center"/>
    </xf>
    <xf numFmtId="0" fontId="32" fillId="13" borderId="1" xfId="0" applyFont="1" applyFill="1" applyBorder="1">
      <alignment vertical="center"/>
    </xf>
    <xf numFmtId="0" fontId="64" fillId="17" borderId="1" xfId="0" applyFont="1" applyFill="1" applyBorder="1">
      <alignment vertical="center"/>
    </xf>
    <xf numFmtId="0" fontId="64" fillId="17" borderId="1" xfId="0" applyFont="1" applyFill="1" applyBorder="1" applyAlignment="1">
      <alignment horizontal="center" vertical="center"/>
    </xf>
    <xf numFmtId="0" fontId="61" fillId="13" borderId="0" xfId="0" applyFont="1" applyFill="1">
      <alignment vertical="center"/>
    </xf>
    <xf numFmtId="0" fontId="27" fillId="0" borderId="1" xfId="0" applyFont="1" applyBorder="1" applyAlignment="1"/>
    <xf numFmtId="0" fontId="27" fillId="33" borderId="1" xfId="0" applyFont="1" applyFill="1" applyBorder="1" applyAlignment="1">
      <alignment horizontal="center" vertical="center"/>
    </xf>
    <xf numFmtId="0" fontId="65" fillId="33" borderId="1" xfId="5" applyFont="1" applyFill="1" applyBorder="1" applyAlignment="1">
      <alignment horizontal="center" vertical="center"/>
    </xf>
    <xf numFmtId="2" fontId="63" fillId="33" borderId="1" xfId="0" applyNumberFormat="1" applyFont="1" applyFill="1" applyBorder="1" applyAlignment="1">
      <alignment horizontal="center" vertical="center"/>
    </xf>
    <xf numFmtId="0" fontId="0" fillId="33" borderId="1" xfId="5" applyFont="1" applyFill="1" applyBorder="1" applyAlignment="1">
      <alignment horizontal="center" vertical="center"/>
    </xf>
    <xf numFmtId="0" fontId="32" fillId="33" borderId="1" xfId="5" applyFont="1" applyFill="1" applyBorder="1" applyAlignment="1">
      <alignment horizontal="center" vertical="center"/>
    </xf>
    <xf numFmtId="0" fontId="27" fillId="17" borderId="1" xfId="0" applyFont="1" applyFill="1" applyBorder="1" applyAlignment="1">
      <alignment horizontal="center" vertical="center"/>
    </xf>
    <xf numFmtId="0" fontId="6" fillId="34" borderId="1" xfId="0" applyFont="1" applyFill="1" applyBorder="1" applyAlignment="1">
      <alignment horizontal="center" vertical="center"/>
    </xf>
    <xf numFmtId="0" fontId="6" fillId="34" borderId="1" xfId="0" applyFont="1" applyFill="1" applyBorder="1">
      <alignment vertical="center"/>
    </xf>
    <xf numFmtId="0" fontId="64" fillId="33" borderId="1" xfId="0" applyFont="1" applyFill="1" applyBorder="1" applyAlignment="1">
      <alignment horizontal="center" vertical="center"/>
    </xf>
    <xf numFmtId="0" fontId="66" fillId="33" borderId="1" xfId="0" applyFont="1" applyFill="1" applyBorder="1" applyAlignment="1">
      <alignment horizontal="center" vertical="center"/>
    </xf>
    <xf numFmtId="2" fontId="64" fillId="33" borderId="1" xfId="0" applyNumberFormat="1" applyFont="1" applyFill="1" applyBorder="1" applyAlignment="1">
      <alignment horizontal="center" vertical="center"/>
    </xf>
    <xf numFmtId="2" fontId="6" fillId="33" borderId="0" xfId="0" applyNumberFormat="1" applyFont="1" applyFill="1" applyAlignment="1">
      <alignment horizontal="center" vertical="center"/>
    </xf>
    <xf numFmtId="0" fontId="64" fillId="0" borderId="1" xfId="0" applyFont="1" applyBorder="1">
      <alignment vertical="center"/>
    </xf>
    <xf numFmtId="0" fontId="64" fillId="0" borderId="1" xfId="0" applyFont="1" applyBorder="1" applyAlignment="1">
      <alignment horizontal="center" vertical="center"/>
    </xf>
    <xf numFmtId="0" fontId="0" fillId="12" borderId="10" xfId="0" applyFill="1" applyBorder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0" borderId="1" xfId="0" applyBorder="1">
      <alignment vertical="center"/>
    </xf>
    <xf numFmtId="166" fontId="0" fillId="0" borderId="1" xfId="0" applyNumberFormat="1" applyBorder="1">
      <alignment vertical="center"/>
    </xf>
    <xf numFmtId="0" fontId="0" fillId="0" borderId="1" xfId="0" applyBorder="1" applyAlignment="1">
      <alignment horizontal="left" vertical="center"/>
    </xf>
    <xf numFmtId="0" fontId="0" fillId="17" borderId="1" xfId="0" applyFill="1" applyBorder="1" applyAlignment="1">
      <alignment horizontal="left" vertical="center"/>
    </xf>
    <xf numFmtId="0" fontId="50" fillId="0" borderId="0" xfId="0" applyFont="1" applyAlignment="1">
      <alignment horizontal="left" vertical="center"/>
    </xf>
    <xf numFmtId="0" fontId="57" fillId="0" borderId="0" xfId="0" applyFont="1" applyAlignment="1">
      <alignment horizontal="left" vertical="center"/>
    </xf>
    <xf numFmtId="2" fontId="0" fillId="11" borderId="25" xfId="0" applyNumberFormat="1" applyFill="1" applyBorder="1" applyAlignment="1">
      <alignment horizontal="center" vertical="center"/>
    </xf>
    <xf numFmtId="2" fontId="0" fillId="11" borderId="41" xfId="0" applyNumberFormat="1" applyFill="1" applyBorder="1" applyAlignment="1">
      <alignment horizontal="center" vertical="center"/>
    </xf>
    <xf numFmtId="2" fontId="0" fillId="32" borderId="41" xfId="0" applyNumberFormat="1" applyFill="1" applyBorder="1" applyAlignment="1">
      <alignment horizontal="center" vertical="center"/>
    </xf>
    <xf numFmtId="1" fontId="0" fillId="0" borderId="0" xfId="0" applyNumberFormat="1">
      <alignment vertical="center"/>
    </xf>
    <xf numFmtId="164" fontId="4" fillId="10" borderId="19" xfId="0" applyNumberFormat="1" applyFont="1" applyFill="1" applyBorder="1" applyAlignment="1">
      <alignment horizontal="center" vertical="center"/>
    </xf>
    <xf numFmtId="0" fontId="3" fillId="23" borderId="1" xfId="0" applyFont="1" applyFill="1" applyBorder="1">
      <alignment vertical="center"/>
    </xf>
    <xf numFmtId="0" fontId="3" fillId="23" borderId="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2" fillId="0" borderId="0" xfId="1" applyFont="1" applyAlignment="1">
      <alignment vertical="center"/>
    </xf>
    <xf numFmtId="0" fontId="1" fillId="8" borderId="2" xfId="1" applyFill="1" applyBorder="1" applyAlignment="1">
      <alignment vertical="center"/>
    </xf>
    <xf numFmtId="164" fontId="1" fillId="5" borderId="1" xfId="1" applyNumberFormat="1" applyFill="1" applyBorder="1" applyAlignment="1">
      <alignment horizontal="center" vertical="center"/>
    </xf>
    <xf numFmtId="14" fontId="1" fillId="0" borderId="0" xfId="1" applyNumberFormat="1" applyAlignment="1">
      <alignment horizontal="left" vertical="center"/>
    </xf>
    <xf numFmtId="0" fontId="12" fillId="5" borderId="25" xfId="0" applyFont="1" applyFill="1" applyBorder="1" applyAlignment="1">
      <alignment horizontal="center" vertical="center" wrapText="1"/>
    </xf>
    <xf numFmtId="0" fontId="0" fillId="5" borderId="25" xfId="0" applyFill="1" applyBorder="1" applyAlignment="1">
      <alignment vertical="top" wrapText="1"/>
    </xf>
    <xf numFmtId="0" fontId="0" fillId="5" borderId="41" xfId="0" applyFill="1" applyBorder="1" applyAlignment="1">
      <alignment vertical="top" wrapText="1"/>
    </xf>
    <xf numFmtId="0" fontId="2" fillId="3" borderId="0" xfId="1" applyFont="1" applyFill="1" applyAlignment="1">
      <alignment horizontal="center" vertical="center"/>
    </xf>
    <xf numFmtId="14" fontId="1" fillId="8" borderId="0" xfId="1" applyNumberFormat="1" applyFill="1" applyAlignment="1">
      <alignment horizontal="center" vertical="center"/>
    </xf>
    <xf numFmtId="0" fontId="1" fillId="0" borderId="0" xfId="1" applyAlignment="1">
      <alignment horizontal="center" vertical="center" wrapText="1"/>
    </xf>
    <xf numFmtId="0" fontId="1" fillId="21" borderId="0" xfId="1" applyFill="1" applyAlignment="1">
      <alignment horizontal="center" vertical="center" wrapText="1"/>
    </xf>
    <xf numFmtId="0" fontId="1" fillId="8" borderId="0" xfId="1" applyFill="1" applyAlignment="1">
      <alignment horizontal="center" vertical="center" wrapText="1"/>
    </xf>
    <xf numFmtId="14" fontId="1" fillId="0" borderId="0" xfId="1" applyNumberFormat="1" applyAlignment="1">
      <alignment horizontal="center" vertical="center"/>
    </xf>
    <xf numFmtId="0" fontId="7" fillId="0" borderId="0" xfId="1" applyFont="1" applyAlignment="1">
      <alignment horizontal="center" vertical="center" wrapText="1"/>
    </xf>
    <xf numFmtId="49" fontId="2" fillId="36" borderId="1" xfId="1" applyNumberFormat="1" applyFont="1" applyFill="1" applyBorder="1" applyAlignment="1">
      <alignment horizontal="center" vertical="center" wrapText="1"/>
    </xf>
    <xf numFmtId="0" fontId="1" fillId="9" borderId="0" xfId="1" applyFill="1" applyAlignment="1">
      <alignment horizontal="center" vertical="center"/>
    </xf>
    <xf numFmtId="164" fontId="1" fillId="4" borderId="1" xfId="1" quotePrefix="1" applyNumberFormat="1" applyFill="1" applyBorder="1" applyAlignment="1">
      <alignment horizontal="center" vertical="center"/>
    </xf>
    <xf numFmtId="0" fontId="69" fillId="3" borderId="1" xfId="1" applyFont="1" applyFill="1" applyBorder="1" applyAlignment="1">
      <alignment horizontal="center" vertical="center"/>
    </xf>
    <xf numFmtId="14" fontId="69" fillId="3" borderId="1" xfId="1" applyNumberFormat="1" applyFont="1" applyFill="1" applyBorder="1" applyAlignment="1">
      <alignment horizontal="center" vertical="center"/>
    </xf>
    <xf numFmtId="9" fontId="50" fillId="0" borderId="0" xfId="3" applyFont="1" applyBorder="1" applyAlignment="1">
      <alignment vertical="center"/>
    </xf>
    <xf numFmtId="168" fontId="0" fillId="0" borderId="0" xfId="3" applyNumberFormat="1" applyFont="1" applyFill="1" applyBorder="1" applyAlignment="1" applyProtection="1">
      <alignment vertical="center"/>
    </xf>
    <xf numFmtId="0" fontId="7" fillId="0" borderId="0" xfId="1" applyFont="1" applyAlignment="1">
      <alignment horizontal="left" vertical="center" wrapText="1"/>
    </xf>
    <xf numFmtId="0" fontId="19" fillId="8" borderId="8" xfId="0" applyFont="1" applyFill="1" applyBorder="1" applyAlignment="1">
      <alignment horizontal="center" vertical="center"/>
    </xf>
    <xf numFmtId="0" fontId="10" fillId="21" borderId="12" xfId="0" applyFont="1" applyFill="1" applyBorder="1" applyAlignment="1">
      <alignment horizontal="center" vertical="center"/>
    </xf>
    <xf numFmtId="0" fontId="10" fillId="21" borderId="10" xfId="0" applyFont="1" applyFill="1" applyBorder="1" applyAlignment="1">
      <alignment horizontal="center" vertical="center"/>
    </xf>
    <xf numFmtId="0" fontId="10" fillId="21" borderId="24" xfId="0" applyFont="1" applyFill="1" applyBorder="1" applyAlignment="1">
      <alignment horizontal="center" vertical="center"/>
    </xf>
    <xf numFmtId="0" fontId="10" fillId="21" borderId="26" xfId="0" applyFont="1" applyFill="1" applyBorder="1" applyAlignment="1">
      <alignment horizontal="center" vertical="center"/>
    </xf>
    <xf numFmtId="0" fontId="10" fillId="21" borderId="14" xfId="0" applyFont="1" applyFill="1" applyBorder="1" applyAlignment="1">
      <alignment horizontal="center" vertical="center"/>
    </xf>
    <xf numFmtId="0" fontId="10" fillId="21" borderId="41" xfId="0" applyFont="1" applyFill="1" applyBorder="1" applyAlignment="1">
      <alignment horizontal="center" vertical="center"/>
    </xf>
    <xf numFmtId="2" fontId="18" fillId="18" borderId="0" xfId="0" applyNumberFormat="1" applyFont="1" applyFill="1" applyAlignment="1">
      <alignment horizontal="right" vertical="center"/>
    </xf>
    <xf numFmtId="2" fontId="18" fillId="18" borderId="25" xfId="0" applyNumberFormat="1" applyFont="1" applyFill="1" applyBorder="1" applyAlignment="1">
      <alignment horizontal="right" vertical="center"/>
    </xf>
    <xf numFmtId="2" fontId="18" fillId="18" borderId="14" xfId="0" applyNumberFormat="1" applyFont="1" applyFill="1" applyBorder="1" applyAlignment="1">
      <alignment horizontal="right" vertical="center"/>
    </xf>
    <xf numFmtId="2" fontId="18" fillId="18" borderId="41" xfId="0" applyNumberFormat="1" applyFont="1" applyFill="1" applyBorder="1" applyAlignment="1">
      <alignment horizontal="right" vertical="center"/>
    </xf>
    <xf numFmtId="2" fontId="26" fillId="28" borderId="34" xfId="0" applyNumberFormat="1" applyFont="1" applyFill="1" applyBorder="1" applyAlignment="1">
      <alignment horizontal="center" vertical="center" wrapText="1"/>
    </xf>
    <xf numFmtId="2" fontId="26" fillId="28" borderId="49" xfId="0" applyNumberFormat="1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24" xfId="0" applyFont="1" applyFill="1" applyBorder="1" applyAlignment="1">
      <alignment horizontal="center" vertical="center"/>
    </xf>
    <xf numFmtId="0" fontId="4" fillId="23" borderId="12" xfId="0" applyFont="1" applyFill="1" applyBorder="1" applyAlignment="1">
      <alignment horizontal="center" vertical="center" wrapText="1"/>
    </xf>
    <xf numFmtId="0" fontId="4" fillId="23" borderId="10" xfId="0" applyFont="1" applyFill="1" applyBorder="1" applyAlignment="1">
      <alignment horizontal="center" vertical="center" wrapText="1"/>
    </xf>
    <xf numFmtId="0" fontId="38" fillId="29" borderId="0" xfId="0" applyFont="1" applyFill="1" applyAlignment="1">
      <alignment horizontal="center" vertical="center" wrapText="1"/>
    </xf>
    <xf numFmtId="0" fontId="18" fillId="18" borderId="10" xfId="0" applyFont="1" applyFill="1" applyBorder="1" applyAlignment="1">
      <alignment horizontal="right" vertical="center"/>
    </xf>
    <xf numFmtId="0" fontId="18" fillId="18" borderId="24" xfId="0" applyFont="1" applyFill="1" applyBorder="1" applyAlignment="1">
      <alignment horizontal="right" vertical="center"/>
    </xf>
    <xf numFmtId="0" fontId="13" fillId="0" borderId="51" xfId="0" applyFont="1" applyBorder="1" applyAlignment="1">
      <alignment horizontal="left" vertical="center" wrapText="1"/>
    </xf>
    <xf numFmtId="0" fontId="13" fillId="0" borderId="27" xfId="0" applyFont="1" applyBorder="1" applyAlignment="1">
      <alignment horizontal="left" vertical="center" wrapText="1"/>
    </xf>
    <xf numFmtId="0" fontId="13" fillId="0" borderId="52" xfId="0" applyFont="1" applyBorder="1" applyAlignment="1">
      <alignment horizontal="left" vertical="center" wrapText="1"/>
    </xf>
    <xf numFmtId="0" fontId="13" fillId="0" borderId="51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52" xfId="0" applyFont="1" applyBorder="1" applyAlignment="1">
      <alignment horizontal="center" vertical="center"/>
    </xf>
    <xf numFmtId="0" fontId="54" fillId="30" borderId="47" xfId="0" applyFont="1" applyFill="1" applyBorder="1" applyAlignment="1">
      <alignment horizontal="left" vertical="center"/>
    </xf>
    <xf numFmtId="0" fontId="54" fillId="30" borderId="23" xfId="0" applyFont="1" applyFill="1" applyBorder="1" applyAlignment="1">
      <alignment horizontal="left" vertical="center"/>
    </xf>
    <xf numFmtId="0" fontId="54" fillId="30" borderId="48" xfId="0" applyFont="1" applyFill="1" applyBorder="1" applyAlignment="1">
      <alignment horizontal="left" vertical="center"/>
    </xf>
    <xf numFmtId="0" fontId="13" fillId="0" borderId="33" xfId="0" applyFont="1" applyBorder="1" applyAlignment="1">
      <alignment horizontal="left" vertical="center"/>
    </xf>
    <xf numFmtId="0" fontId="13" fillId="0" borderId="34" xfId="0" applyFont="1" applyBorder="1" applyAlignment="1">
      <alignment horizontal="left" vertical="center"/>
    </xf>
    <xf numFmtId="0" fontId="13" fillId="0" borderId="49" xfId="0" applyFont="1" applyBorder="1" applyAlignment="1">
      <alignment horizontal="left" vertical="center"/>
    </xf>
    <xf numFmtId="0" fontId="13" fillId="0" borderId="13" xfId="0" applyFont="1" applyBorder="1" applyAlignment="1">
      <alignment horizontal="left" vertical="center"/>
    </xf>
    <xf numFmtId="0" fontId="13" fillId="0" borderId="8" xfId="0" applyFont="1" applyBorder="1" applyAlignment="1">
      <alignment horizontal="left" vertical="center"/>
    </xf>
    <xf numFmtId="0" fontId="13" fillId="0" borderId="55" xfId="0" applyFont="1" applyBorder="1" applyAlignment="1">
      <alignment horizontal="left" vertical="center"/>
    </xf>
    <xf numFmtId="0" fontId="13" fillId="0" borderId="30" xfId="0" applyFont="1" applyBorder="1" applyAlignment="1">
      <alignment horizontal="left" vertical="center"/>
    </xf>
    <xf numFmtId="0" fontId="13" fillId="0" borderId="31" xfId="0" applyFont="1" applyBorder="1" applyAlignment="1">
      <alignment horizontal="left" vertical="center"/>
    </xf>
    <xf numFmtId="0" fontId="13" fillId="0" borderId="56" xfId="0" applyFont="1" applyBorder="1" applyAlignment="1">
      <alignment horizontal="left" vertical="center"/>
    </xf>
    <xf numFmtId="0" fontId="56" fillId="0" borderId="4" xfId="0" applyFont="1" applyBorder="1" applyAlignment="1">
      <alignment horizontal="center" vertical="center" wrapText="1"/>
    </xf>
    <xf numFmtId="0" fontId="56" fillId="0" borderId="5" xfId="0" applyFont="1" applyBorder="1" applyAlignment="1">
      <alignment horizontal="center" vertical="center" wrapText="1"/>
    </xf>
    <xf numFmtId="0" fontId="56" fillId="0" borderId="6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/>
    </xf>
    <xf numFmtId="0" fontId="50" fillId="0" borderId="33" xfId="0" quotePrefix="1" applyFont="1" applyBorder="1" applyAlignment="1">
      <alignment horizontal="left" vertical="center" wrapText="1"/>
    </xf>
    <xf numFmtId="0" fontId="50" fillId="0" borderId="34" xfId="0" quotePrefix="1" applyFont="1" applyBorder="1" applyAlignment="1">
      <alignment horizontal="left" vertical="center" wrapText="1"/>
    </xf>
    <xf numFmtId="0" fontId="50" fillId="0" borderId="49" xfId="0" quotePrefix="1" applyFont="1" applyBorder="1" applyAlignment="1">
      <alignment horizontal="left" vertical="center" wrapText="1"/>
    </xf>
    <xf numFmtId="0" fontId="50" fillId="0" borderId="30" xfId="0" quotePrefix="1" applyFont="1" applyBorder="1" applyAlignment="1">
      <alignment horizontal="left" vertical="center" wrapText="1"/>
    </xf>
    <xf numFmtId="0" fontId="50" fillId="0" borderId="31" xfId="0" quotePrefix="1" applyFont="1" applyBorder="1" applyAlignment="1">
      <alignment horizontal="left" vertical="center" wrapText="1"/>
    </xf>
    <xf numFmtId="0" fontId="50" fillId="0" borderId="56" xfId="0" applyFont="1" applyBorder="1" applyAlignment="1">
      <alignment horizontal="left" vertical="center" wrapText="1"/>
    </xf>
    <xf numFmtId="0" fontId="13" fillId="0" borderId="51" xfId="0" applyFont="1" applyBorder="1" applyAlignment="1">
      <alignment horizontal="left" vertical="center"/>
    </xf>
    <xf numFmtId="0" fontId="13" fillId="0" borderId="27" xfId="0" applyFont="1" applyBorder="1" applyAlignment="1">
      <alignment horizontal="left" vertical="center"/>
    </xf>
    <xf numFmtId="0" fontId="13" fillId="0" borderId="52" xfId="0" applyFont="1" applyBorder="1" applyAlignment="1">
      <alignment horizontal="left" vertical="center"/>
    </xf>
    <xf numFmtId="0" fontId="50" fillId="20" borderId="7" xfId="0" quotePrefix="1" applyFont="1" applyFill="1" applyBorder="1" applyAlignment="1">
      <alignment horizontal="left" vertical="center"/>
    </xf>
    <xf numFmtId="0" fontId="50" fillId="20" borderId="9" xfId="0" quotePrefix="1" applyFont="1" applyFill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3" fillId="0" borderId="12" xfId="0" applyFont="1" applyBorder="1" applyAlignment="1">
      <alignment horizontal="left" vertical="center" wrapText="1"/>
    </xf>
    <xf numFmtId="0" fontId="13" fillId="0" borderId="39" xfId="0" applyFont="1" applyBorder="1" applyAlignment="1">
      <alignment horizontal="left" vertical="center" wrapText="1"/>
    </xf>
    <xf numFmtId="0" fontId="13" fillId="0" borderId="11" xfId="0" applyFont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13" fillId="0" borderId="26" xfId="0" applyFont="1" applyBorder="1" applyAlignment="1">
      <alignment horizontal="left" vertical="center" wrapText="1"/>
    </xf>
    <xf numFmtId="0" fontId="13" fillId="0" borderId="54" xfId="0" applyFont="1" applyBorder="1" applyAlignment="1">
      <alignment horizontal="left" vertical="center" wrapText="1"/>
    </xf>
    <xf numFmtId="0" fontId="67" fillId="35" borderId="0" xfId="0" applyFont="1" applyFill="1" applyAlignment="1">
      <alignment horizontal="center" vertical="center"/>
    </xf>
    <xf numFmtId="0" fontId="37" fillId="23" borderId="51" xfId="4" applyFill="1" applyBorder="1" applyAlignment="1">
      <alignment vertical="center" wrapText="1"/>
    </xf>
    <xf numFmtId="0" fontId="37" fillId="23" borderId="27" xfId="4" applyFill="1" applyBorder="1" applyAlignment="1">
      <alignment vertical="center" wrapText="1"/>
    </xf>
    <xf numFmtId="0" fontId="37" fillId="23" borderId="52" xfId="4" applyFill="1" applyBorder="1" applyAlignment="1">
      <alignment vertical="center" wrapText="1"/>
    </xf>
    <xf numFmtId="0" fontId="12" fillId="10" borderId="53" xfId="0" quotePrefix="1" applyFont="1" applyFill="1" applyBorder="1" applyAlignment="1">
      <alignment horizontal="left" vertical="top" wrapText="1"/>
    </xf>
    <xf numFmtId="0" fontId="12" fillId="10" borderId="45" xfId="0" quotePrefix="1" applyFont="1" applyFill="1" applyBorder="1" applyAlignment="1">
      <alignment horizontal="left" vertical="top" wrapText="1"/>
    </xf>
    <xf numFmtId="0" fontId="12" fillId="10" borderId="46" xfId="0" quotePrefix="1" applyFont="1" applyFill="1" applyBorder="1" applyAlignment="1">
      <alignment horizontal="left" vertical="top" wrapText="1"/>
    </xf>
    <xf numFmtId="0" fontId="34" fillId="0" borderId="53" xfId="0" applyFont="1" applyBorder="1" applyAlignment="1">
      <alignment horizontal="left" vertical="top" wrapText="1"/>
    </xf>
    <xf numFmtId="0" fontId="34" fillId="0" borderId="45" xfId="0" applyFont="1" applyBorder="1" applyAlignment="1">
      <alignment horizontal="left" vertical="top" wrapText="1"/>
    </xf>
    <xf numFmtId="0" fontId="34" fillId="0" borderId="46" xfId="0" applyFont="1" applyBorder="1" applyAlignment="1">
      <alignment horizontal="left" vertical="top" wrapText="1"/>
    </xf>
    <xf numFmtId="0" fontId="0" fillId="5" borderId="53" xfId="0" quotePrefix="1" applyFill="1" applyBorder="1" applyAlignment="1">
      <alignment horizontal="left" vertical="top" wrapText="1"/>
    </xf>
    <xf numFmtId="0" fontId="12" fillId="5" borderId="45" xfId="0" applyFont="1" applyFill="1" applyBorder="1" applyAlignment="1">
      <alignment horizontal="left" vertical="top" wrapText="1"/>
    </xf>
    <xf numFmtId="0" fontId="12" fillId="5" borderId="46" xfId="0" applyFont="1" applyFill="1" applyBorder="1" applyAlignment="1">
      <alignment horizontal="left" vertical="top" wrapText="1"/>
    </xf>
    <xf numFmtId="0" fontId="12" fillId="0" borderId="53" xfId="0" applyFont="1" applyBorder="1" applyAlignment="1">
      <alignment horizontal="center" vertical="center" wrapText="1"/>
    </xf>
    <xf numFmtId="0" fontId="12" fillId="0" borderId="45" xfId="0" applyFont="1" applyBorder="1" applyAlignment="1">
      <alignment horizontal="center" vertical="center" wrapText="1"/>
    </xf>
    <xf numFmtId="0" fontId="12" fillId="0" borderId="46" xfId="0" applyFont="1" applyBorder="1" applyAlignment="1">
      <alignment horizontal="center" vertical="center" wrapText="1"/>
    </xf>
    <xf numFmtId="0" fontId="12" fillId="0" borderId="53" xfId="0" applyFont="1" applyBorder="1" applyAlignment="1">
      <alignment horizontal="left" vertical="top" wrapText="1"/>
    </xf>
    <xf numFmtId="0" fontId="12" fillId="0" borderId="45" xfId="0" applyFont="1" applyBorder="1" applyAlignment="1">
      <alignment horizontal="left" vertical="top" wrapText="1"/>
    </xf>
    <xf numFmtId="0" fontId="12" fillId="0" borderId="46" xfId="0" applyFont="1" applyBorder="1" applyAlignment="1">
      <alignment horizontal="left" vertical="top" wrapText="1"/>
    </xf>
    <xf numFmtId="0" fontId="12" fillId="10" borderId="53" xfId="0" applyFont="1" applyFill="1" applyBorder="1" applyAlignment="1">
      <alignment horizontal="left" vertical="top" wrapText="1"/>
    </xf>
    <xf numFmtId="0" fontId="12" fillId="10" borderId="45" xfId="0" applyFont="1" applyFill="1" applyBorder="1" applyAlignment="1">
      <alignment horizontal="left" vertical="top" wrapText="1"/>
    </xf>
    <xf numFmtId="0" fontId="12" fillId="10" borderId="46" xfId="0" applyFont="1" applyFill="1" applyBorder="1" applyAlignment="1">
      <alignment horizontal="left" vertical="top" wrapText="1"/>
    </xf>
    <xf numFmtId="0" fontId="34" fillId="0" borderId="53" xfId="0" applyFont="1" applyBorder="1" applyAlignment="1">
      <alignment vertical="top" wrapText="1"/>
    </xf>
    <xf numFmtId="0" fontId="34" fillId="0" borderId="46" xfId="0" applyFont="1" applyBorder="1" applyAlignment="1">
      <alignment vertical="top" wrapText="1"/>
    </xf>
  </cellXfs>
  <cellStyles count="6">
    <cellStyle name="Lien hypertexte" xfId="4" builtinId="8"/>
    <cellStyle name="Normal" xfId="0" builtinId="0"/>
    <cellStyle name="Normal 10 8" xfId="2" xr:uid="{00000000-0005-0000-0000-000001000000}"/>
    <cellStyle name="Normal 2" xfId="5" xr:uid="{C5F43E11-E9E4-4AA1-B481-B78EA797ED64}"/>
    <cellStyle name="Normal 2 3" xfId="1" xr:uid="{00000000-0005-0000-0000-000002000000}"/>
    <cellStyle name="Pourcentage" xfId="3" builtinId="5"/>
  </cellStyles>
  <dxfs count="13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indexed="22"/>
      </font>
    </dxf>
    <dxf>
      <font>
        <condense val="0"/>
        <extend val="0"/>
        <color indexed="22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 patternType="none">
          <bgColor auto="1"/>
        </patternFill>
      </fill>
    </dxf>
    <dxf>
      <font>
        <condense val="0"/>
        <extend val="0"/>
        <color indexed="22"/>
      </font>
    </dxf>
    <dxf>
      <font>
        <condense val="0"/>
        <extend val="0"/>
        <color indexed="22"/>
      </font>
    </dxf>
    <dxf>
      <font>
        <condense val="0"/>
        <extend val="0"/>
        <color indexed="22"/>
      </font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FFFF99"/>
      <color rgb="FFFF3300"/>
      <color rgb="FF0000FF"/>
      <color rgb="FF0066FF"/>
      <color rgb="FF33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1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1201738</xdr:colOff>
      <xdr:row>135</xdr:row>
      <xdr:rowOff>146842</xdr:rowOff>
    </xdr:from>
    <xdr:to>
      <xdr:col>11</xdr:col>
      <xdr:colOff>5595938</xdr:colOff>
      <xdr:row>143</xdr:row>
      <xdr:rowOff>119855</xdr:rowOff>
    </xdr:to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2506A7AD-3B7D-4D0F-A046-FAEF88E9E52A}"/>
            </a:ext>
          </a:extLst>
        </xdr:cNvPr>
        <xdr:cNvSpPr txBox="1"/>
      </xdr:nvSpPr>
      <xdr:spPr>
        <a:xfrm>
          <a:off x="9266238" y="21070092"/>
          <a:ext cx="4394200" cy="1243013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fr-FR" sz="2000">
              <a:solidFill>
                <a:srgbClr val="FF0000"/>
              </a:solidFill>
            </a:rPr>
            <a:t>In case of use, need to </a:t>
          </a:r>
          <a:r>
            <a:rPr lang="fr-FR" sz="2000" baseline="0">
              <a:solidFill>
                <a:srgbClr val="FF0000"/>
              </a:solidFill>
            </a:rPr>
            <a:t>check last update in docinfo : 00987_15_00582</a:t>
          </a:r>
          <a:endParaRPr lang="fr-FR" sz="2000">
            <a:solidFill>
              <a:srgbClr val="FF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1</xdr:row>
      <xdr:rowOff>171450</xdr:rowOff>
    </xdr:from>
    <xdr:to>
      <xdr:col>8</xdr:col>
      <xdr:colOff>876300</xdr:colOff>
      <xdr:row>2</xdr:row>
      <xdr:rowOff>139700</xdr:rowOff>
    </xdr:to>
    <xdr:sp macro="" textlink="">
      <xdr:nvSpPr>
        <xdr:cNvPr id="2" name="Ellipse 1">
          <a:extLst>
            <a:ext uri="{FF2B5EF4-FFF2-40B4-BE49-F238E27FC236}">
              <a16:creationId xmlns:a16="http://schemas.microsoft.com/office/drawing/2014/main" id="{9CC46441-AEFB-4EBC-8DF7-A8546A21C966}"/>
            </a:ext>
          </a:extLst>
        </xdr:cNvPr>
        <xdr:cNvSpPr/>
      </xdr:nvSpPr>
      <xdr:spPr>
        <a:xfrm>
          <a:off x="8296275" y="276225"/>
          <a:ext cx="400050" cy="358775"/>
        </a:xfrm>
        <a:prstGeom prst="ellipse">
          <a:avLst/>
        </a:prstGeom>
        <a:solidFill>
          <a:schemeClr val="bg1">
            <a:lumMod val="6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2400">
              <a:solidFill>
                <a:sysClr val="windowText" lastClr="000000"/>
              </a:solidFill>
            </a:rPr>
            <a:t>1</a:t>
          </a:r>
        </a:p>
      </xdr:txBody>
    </xdr:sp>
    <xdr:clientData/>
  </xdr:twoCellAnchor>
  <xdr:twoCellAnchor>
    <xdr:from>
      <xdr:col>12</xdr:col>
      <xdr:colOff>330200</xdr:colOff>
      <xdr:row>1</xdr:row>
      <xdr:rowOff>190500</xdr:rowOff>
    </xdr:from>
    <xdr:to>
      <xdr:col>12</xdr:col>
      <xdr:colOff>714375</xdr:colOff>
      <xdr:row>2</xdr:row>
      <xdr:rowOff>158750</xdr:rowOff>
    </xdr:to>
    <xdr:sp macro="" textlink="">
      <xdr:nvSpPr>
        <xdr:cNvPr id="3" name="Ellipse 2">
          <a:extLst>
            <a:ext uri="{FF2B5EF4-FFF2-40B4-BE49-F238E27FC236}">
              <a16:creationId xmlns:a16="http://schemas.microsoft.com/office/drawing/2014/main" id="{9DDE4086-8454-4D0C-B41F-A26DE02DAEAC}"/>
            </a:ext>
          </a:extLst>
        </xdr:cNvPr>
        <xdr:cNvSpPr/>
      </xdr:nvSpPr>
      <xdr:spPr>
        <a:xfrm>
          <a:off x="10436225" y="295275"/>
          <a:ext cx="384175" cy="358775"/>
        </a:xfrm>
        <a:prstGeom prst="ellipse">
          <a:avLst/>
        </a:prstGeom>
        <a:solidFill>
          <a:schemeClr val="bg1">
            <a:lumMod val="6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2400">
              <a:solidFill>
                <a:sysClr val="windowText" lastClr="000000"/>
              </a:solidFill>
            </a:rPr>
            <a:t>2</a:t>
          </a:r>
        </a:p>
      </xdr:txBody>
    </xdr:sp>
    <xdr:clientData/>
  </xdr:twoCellAnchor>
  <xdr:twoCellAnchor>
    <xdr:from>
      <xdr:col>14</xdr:col>
      <xdr:colOff>542925</xdr:colOff>
      <xdr:row>1</xdr:row>
      <xdr:rowOff>171450</xdr:rowOff>
    </xdr:from>
    <xdr:to>
      <xdr:col>14</xdr:col>
      <xdr:colOff>942975</xdr:colOff>
      <xdr:row>2</xdr:row>
      <xdr:rowOff>142875</xdr:rowOff>
    </xdr:to>
    <xdr:sp macro="" textlink="">
      <xdr:nvSpPr>
        <xdr:cNvPr id="4" name="Ellipse 3">
          <a:extLst>
            <a:ext uri="{FF2B5EF4-FFF2-40B4-BE49-F238E27FC236}">
              <a16:creationId xmlns:a16="http://schemas.microsoft.com/office/drawing/2014/main" id="{054FB12D-75B3-489E-97E7-AEF6D6558DA8}"/>
            </a:ext>
          </a:extLst>
        </xdr:cNvPr>
        <xdr:cNvSpPr/>
      </xdr:nvSpPr>
      <xdr:spPr>
        <a:xfrm>
          <a:off x="11982450" y="276225"/>
          <a:ext cx="400050" cy="361950"/>
        </a:xfrm>
        <a:prstGeom prst="ellipse">
          <a:avLst/>
        </a:prstGeom>
        <a:solidFill>
          <a:schemeClr val="bg1">
            <a:lumMod val="6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2400">
              <a:solidFill>
                <a:sysClr val="windowText" lastClr="000000"/>
              </a:solidFill>
            </a:rPr>
            <a:t>3</a:t>
          </a:r>
        </a:p>
      </xdr:txBody>
    </xdr:sp>
    <xdr:clientData/>
  </xdr:twoCellAnchor>
  <xdr:twoCellAnchor>
    <xdr:from>
      <xdr:col>16</xdr:col>
      <xdr:colOff>342900</xdr:colOff>
      <xdr:row>2</xdr:row>
      <xdr:rowOff>171450</xdr:rowOff>
    </xdr:from>
    <xdr:to>
      <xdr:col>22</xdr:col>
      <xdr:colOff>285750</xdr:colOff>
      <xdr:row>11</xdr:row>
      <xdr:rowOff>66675</xdr:rowOff>
    </xdr:to>
    <xdr:grpSp>
      <xdr:nvGrpSpPr>
        <xdr:cNvPr id="11" name="Groupe 10">
          <a:extLst>
            <a:ext uri="{FF2B5EF4-FFF2-40B4-BE49-F238E27FC236}">
              <a16:creationId xmlns:a16="http://schemas.microsoft.com/office/drawing/2014/main" id="{C48AF5C2-18AE-4213-BC77-6FDB262060FA}"/>
            </a:ext>
          </a:extLst>
        </xdr:cNvPr>
        <xdr:cNvGrpSpPr/>
      </xdr:nvGrpSpPr>
      <xdr:grpSpPr>
        <a:xfrm>
          <a:off x="12820650" y="657225"/>
          <a:ext cx="4514850" cy="2095500"/>
          <a:chOff x="13217525" y="790575"/>
          <a:chExt cx="4514850" cy="2149475"/>
        </a:xfrm>
      </xdr:grpSpPr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6396CEF3-ECA0-4E88-9A85-712FAD78BA42}"/>
              </a:ext>
            </a:extLst>
          </xdr:cNvPr>
          <xdr:cNvSpPr/>
        </xdr:nvSpPr>
        <xdr:spPr>
          <a:xfrm>
            <a:off x="13217525" y="790575"/>
            <a:ext cx="4514850" cy="2149475"/>
          </a:xfrm>
          <a:prstGeom prst="rect">
            <a:avLst/>
          </a:prstGeom>
          <a:solidFill>
            <a:schemeClr val="bg2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fr-FR" sz="1100"/>
          </a:p>
        </xdr:txBody>
      </xdr:sp>
      <xdr:sp macro="" textlink="">
        <xdr:nvSpPr>
          <xdr:cNvPr id="5" name="ZoneTexte 4">
            <a:extLst>
              <a:ext uri="{FF2B5EF4-FFF2-40B4-BE49-F238E27FC236}">
                <a16:creationId xmlns:a16="http://schemas.microsoft.com/office/drawing/2014/main" id="{A23951B7-8CE6-4CBC-9638-0933FDD24690}"/>
              </a:ext>
            </a:extLst>
          </xdr:cNvPr>
          <xdr:cNvSpPr txBox="1"/>
        </xdr:nvSpPr>
        <xdr:spPr>
          <a:xfrm>
            <a:off x="13808075" y="942975"/>
            <a:ext cx="3803650" cy="8953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fr-FR" sz="1100"/>
              <a:t>Unsprung mass are calculated by using</a:t>
            </a:r>
            <a:r>
              <a:rPr lang="fr-FR" sz="1100" baseline="0"/>
              <a:t> the mass specified by the user in sheet </a:t>
            </a:r>
            <a:r>
              <a:rPr lang="fr-FR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'Evaluations mass+Cog' .</a:t>
            </a:r>
            <a:endParaRPr lang="fr-FR" sz="1100" baseline="0"/>
          </a:p>
          <a:p>
            <a:r>
              <a:rPr lang="fr-FR" sz="1100" baseline="0"/>
              <a:t>The unsprung mass calculation also consider the type of rear axle specidied in sheet 'Input Data'</a:t>
            </a:r>
            <a:endParaRPr lang="fr-FR" sz="1100"/>
          </a:p>
        </xdr:txBody>
      </xdr:sp>
      <xdr:sp macro="" textlink="">
        <xdr:nvSpPr>
          <xdr:cNvPr id="6" name="Ellipse 5">
            <a:extLst>
              <a:ext uri="{FF2B5EF4-FFF2-40B4-BE49-F238E27FC236}">
                <a16:creationId xmlns:a16="http://schemas.microsoft.com/office/drawing/2014/main" id="{2A53B26F-6D3E-496E-8A1F-900575F2E0CF}"/>
              </a:ext>
            </a:extLst>
          </xdr:cNvPr>
          <xdr:cNvSpPr/>
        </xdr:nvSpPr>
        <xdr:spPr>
          <a:xfrm>
            <a:off x="13363575" y="1025525"/>
            <a:ext cx="400050" cy="361950"/>
          </a:xfrm>
          <a:prstGeom prst="ellipse">
            <a:avLst/>
          </a:prstGeom>
          <a:solidFill>
            <a:schemeClr val="bg1">
              <a:lumMod val="65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fr-FR" sz="2400">
                <a:solidFill>
                  <a:sysClr val="windowText" lastClr="000000"/>
                </a:solidFill>
              </a:rPr>
              <a:t>1</a:t>
            </a:r>
          </a:p>
        </xdr:txBody>
      </xdr:sp>
      <xdr:sp macro="" textlink="">
        <xdr:nvSpPr>
          <xdr:cNvPr id="7" name="ZoneTexte 6">
            <a:extLst>
              <a:ext uri="{FF2B5EF4-FFF2-40B4-BE49-F238E27FC236}">
                <a16:creationId xmlns:a16="http://schemas.microsoft.com/office/drawing/2014/main" id="{A5E887E8-A9FF-4E12-A880-DB0B425E2ED5}"/>
              </a:ext>
            </a:extLst>
          </xdr:cNvPr>
          <xdr:cNvSpPr txBox="1"/>
        </xdr:nvSpPr>
        <xdr:spPr>
          <a:xfrm>
            <a:off x="13820775" y="1911350"/>
            <a:ext cx="3790950" cy="9048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fr-FR" sz="1100"/>
              <a:t>It is possible to detect mistakes in mass specified in sheet 'Evaluations mass+Cog' by comparing the global MNS</a:t>
            </a:r>
            <a:r>
              <a:rPr lang="fr-FR" sz="1100" baseline="0"/>
              <a:t> weight with a reference vehicle already known.</a:t>
            </a:r>
          </a:p>
          <a:p>
            <a:endParaRPr lang="fr-FR" sz="500" baseline="0"/>
          </a:p>
          <a:p>
            <a:r>
              <a:rPr lang="fr-FR" sz="1100" baseline="0"/>
              <a:t>For each sub-system : if the mass difference exceed 3% --&gt; </a:t>
            </a:r>
            <a:r>
              <a:rPr lang="fr-FR" sz="1100" baseline="0">
                <a:solidFill>
                  <a:srgbClr val="FF0000"/>
                </a:solidFill>
              </a:rPr>
              <a:t>Red</a:t>
            </a:r>
            <a:endParaRPr lang="fr-FR" sz="1100">
              <a:solidFill>
                <a:srgbClr val="FF0000"/>
              </a:solidFill>
            </a:endParaRPr>
          </a:p>
        </xdr:txBody>
      </xdr:sp>
      <xdr:sp macro="" textlink="">
        <xdr:nvSpPr>
          <xdr:cNvPr id="8" name="Ellipse 7">
            <a:extLst>
              <a:ext uri="{FF2B5EF4-FFF2-40B4-BE49-F238E27FC236}">
                <a16:creationId xmlns:a16="http://schemas.microsoft.com/office/drawing/2014/main" id="{FD4C60EC-E3A3-4B98-8BA5-9839C30C6BBC}"/>
              </a:ext>
            </a:extLst>
          </xdr:cNvPr>
          <xdr:cNvSpPr/>
        </xdr:nvSpPr>
        <xdr:spPr>
          <a:xfrm>
            <a:off x="13369925" y="2000250"/>
            <a:ext cx="400050" cy="361950"/>
          </a:xfrm>
          <a:prstGeom prst="ellipse">
            <a:avLst/>
          </a:prstGeom>
          <a:solidFill>
            <a:schemeClr val="bg1">
              <a:lumMod val="65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fr-FR" sz="2400">
                <a:solidFill>
                  <a:sysClr val="windowText" lastClr="000000"/>
                </a:solidFill>
              </a:rPr>
              <a:t>2</a:t>
            </a:r>
          </a:p>
        </xdr:txBody>
      </xdr:sp>
      <xdr:sp macro="" textlink="">
        <xdr:nvSpPr>
          <xdr:cNvPr id="9" name="Ellipse 8">
            <a:extLst>
              <a:ext uri="{FF2B5EF4-FFF2-40B4-BE49-F238E27FC236}">
                <a16:creationId xmlns:a16="http://schemas.microsoft.com/office/drawing/2014/main" id="{B2A20105-24D4-4DE2-8B40-FF291DE4DB55}"/>
              </a:ext>
            </a:extLst>
          </xdr:cNvPr>
          <xdr:cNvSpPr/>
        </xdr:nvSpPr>
        <xdr:spPr>
          <a:xfrm>
            <a:off x="13373100" y="2428875"/>
            <a:ext cx="400050" cy="361950"/>
          </a:xfrm>
          <a:prstGeom prst="ellipse">
            <a:avLst/>
          </a:prstGeom>
          <a:solidFill>
            <a:schemeClr val="bg1">
              <a:lumMod val="65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fr-FR" sz="2400">
                <a:solidFill>
                  <a:sysClr val="windowText" lastClr="000000"/>
                </a:solidFill>
              </a:rPr>
              <a:t>3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</xdr:colOff>
      <xdr:row>2</xdr:row>
      <xdr:rowOff>130175</xdr:rowOff>
    </xdr:from>
    <xdr:to>
      <xdr:col>23</xdr:col>
      <xdr:colOff>312858</xdr:colOff>
      <xdr:row>16</xdr:row>
      <xdr:rowOff>176251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49F34FDE-C692-44C8-87B8-7564FEFA8B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08625" y="387350"/>
          <a:ext cx="11736508" cy="60412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96102\Jc\user\J596791\ODAR\01-Projets\03-A76\J0\MARGE%20A76%20J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EXCEL/PREVISIO/CP121999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Documents%20and%20Settings/u363073/Local%20Settings/Temporary%20Internet%20Files/Content.Outlook/8DCVJV2M/1CWFA4EEDJH0A0B0%252X%25-000002_0427.xlsx" TargetMode="External"/><Relationship Id="rId1" Type="http://schemas.openxmlformats.org/officeDocument/2006/relationships/externalLinkPath" Target="/Documents%20and%20Settings/u363073/Local%20Settings/Temporary%20Internet%20Files/Content.Outlook/8DCVJV2M/1CWFA4EEDJH0A0B0%252X%25-000002_0427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user/U076053/01%20-%20PSA/MICV/11%20-%20X81C/06-BDD/DSEE/2013_S13_Liste_pieces_EE_X81C_V1_10(1).xls" TargetMode="External"/><Relationship Id="rId1" Type="http://schemas.openxmlformats.org/officeDocument/2006/relationships/externalLinkPath" Target="/user/U076053/01%20-%20PSA/MICV/11%20-%20X81C/06-BDD/DSEE/2013_S13_Liste_pieces_EE_X81C_V1_10(1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IMETRE A76"/>
      <sheetName val="Synthèse"/>
      <sheetName val="Volumes et mix PERIODE (2)"/>
      <sheetName val="Volumes et mix PERIODE"/>
      <sheetName val="véh réf A7 - produit"/>
      <sheetName val="Mix CC pays"/>
      <sheetName val="Mix CC"/>
      <sheetName val="contruction des PRF"/>
      <sheetName val="détail des marges par versions"/>
      <sheetName val="kit PRF J0 "/>
      <sheetName val="PventeFrance"/>
      <sheetName val="PventeAllemagne"/>
      <sheetName val="PventeEspagne"/>
      <sheetName val="PventeGB"/>
      <sheetName val="PventeItalie"/>
      <sheetName val="options prév."/>
      <sheetName val="GARANTIE"/>
      <sheetName val="frais approche"/>
      <sheetName val="amortissements"/>
      <sheetName val="Value Analysis - Sheet 1"/>
      <sheetName val="CP121999"/>
      <sheetName val="307_DCPS"/>
      <sheetName val="206_CPPR"/>
      <sheetName val="206_CPRY"/>
      <sheetName val="206_DCPM"/>
      <sheetName val="206_DCPY"/>
      <sheetName val="206CC_DCPM"/>
      <sheetName val="307_DCPM"/>
      <sheetName val="406_DCPS"/>
      <sheetName val="607_DCPS"/>
      <sheetName val="C3_DCPA"/>
      <sheetName val="C5_DCPR"/>
      <sheetName val="M49_CPBA"/>
      <sheetName val="M49_DCPV"/>
      <sheetName val="PICASSO_CPPR"/>
      <sheetName val="Picasso_DCPV"/>
      <sheetName val="U64_CPSN"/>
      <sheetName val="V_CPSN"/>
      <sheetName val="Xsara_CPMA"/>
      <sheetName val="Xsara_DCPR"/>
      <sheetName val="Agadir Dyn 5"/>
      <sheetName val="Agadir Dyn 1"/>
      <sheetName val="Agadir Dyn 2"/>
      <sheetName val="Agadir Dyn 3"/>
      <sheetName val="Agadir Dyn 4"/>
      <sheetName val="Agadir Dyn 6"/>
      <sheetName val="Agadir TU5 Stat 7 "/>
      <sheetName val="ST 2,0"/>
      <sheetName val="précadrage après chantier"/>
      <sheetName val="RefATR"/>
      <sheetName val="TOUS"/>
      <sheetName val="TAB REG"/>
      <sheetName val="Liste"/>
      <sheetName val="Macro1"/>
      <sheetName val="param"/>
      <sheetName val="Fiesta"/>
      <sheetName val="PARA"/>
      <sheetName val="planning VRS 1 T9"/>
      <sheetName val="Paramètres"/>
      <sheetName val="Value Summary"/>
      <sheetName val="variables"/>
      <sheetName val="MARGE A76 J0"/>
      <sheetName val="PERIMETRE_A76"/>
      <sheetName val="Volumes_et_mix_PERIODE_(2)"/>
      <sheetName val="Volumes_et_mix_PERIODE"/>
      <sheetName val="véh_réf_A7_-_produit"/>
      <sheetName val="Mix_CC_pays"/>
      <sheetName val="Mix_CC"/>
      <sheetName val="contruction_des_PRF"/>
      <sheetName val="détail_des_marges_par_versions"/>
      <sheetName val="kit_PRF_J0_"/>
      <sheetName val="options_prév_"/>
      <sheetName val="frais_approche"/>
      <sheetName val="Tools"/>
      <sheetName val="PRF et PVR CHIFFRAGE CEP"/>
      <sheetName val="PARAMETRES"/>
      <sheetName val="MENU"/>
      <sheetName val="Parameters"/>
      <sheetName val="VOL_CH"/>
      <sheetName val="Datas"/>
      <sheetName val="HypoPxC4"/>
      <sheetName val="Paramètrages"/>
      <sheetName val="Données"/>
      <sheetName val="95하U$가격"/>
      <sheetName val="Variables Common"/>
      <sheetName val="2002CB"/>
      <sheetName val="1stqtr"/>
      <sheetName val="2ndqtr"/>
      <sheetName val="DE"/>
      <sheetName val="Listes"/>
      <sheetName val="volumes"/>
      <sheetName val="Ratio 2016"/>
      <sheetName val="schren"/>
      <sheetName val="schtv6"/>
      <sheetName val="schsts"/>
      <sheetName val="Hebel Namen"/>
      <sheetName val="recherche"/>
      <sheetName val="Choix"/>
      <sheetName val="Référentiel"/>
      <sheetName val="AUX"/>
      <sheetName val="MO"/>
      <sheetName val="PRF et PVR B0 A58"/>
      <sheetName val="DA + CDE"/>
      <sheetName val="Avant choix FNR"/>
      <sheetName val="Après choix FNR"/>
      <sheetName val="RéférentielModules charges CMON"/>
      <sheetName val="Feuil3"/>
      <sheetName val="CBU"/>
      <sheetName val="2. General Input"/>
      <sheetName val="FP CHARGE"/>
      <sheetName val="Réalisé"/>
      <sheetName val="Suivi des objectifs -R83"/>
      <sheetName val="Vx positionnement"/>
      <sheetName val="Mulet &amp; Véh. sans GMP"/>
      <sheetName val="Valo Proto"/>
      <sheetName val="Récapitulatif 2004"/>
      <sheetName val="Assump."/>
      <sheetName val="BUDGET"/>
      <sheetName val=""/>
      <sheetName val="B587_SUISSE"/>
      <sheetName val="Liste affaires"/>
      <sheetName val="3"/>
      <sheetName val="Liste_Choix"/>
      <sheetName val="Référentiel HA V10"/>
      <sheetName val="Mth"/>
      <sheetName val="Qtr"/>
      <sheetName val="EB NA"/>
      <sheetName val="Data"/>
      <sheetName val="KPI "/>
      <sheetName val="Menu déroulant"/>
      <sheetName val="Feuil6"/>
      <sheetName val="Animation RT"/>
      <sheetName val="FINANCES"/>
      <sheetName val="Paramétrages"/>
      <sheetName val="Regles"/>
      <sheetName val="Choice list"/>
      <sheetName val="Assumptions"/>
      <sheetName val="Critère"/>
      <sheetName val="Progress"/>
      <sheetName val="tag list"/>
      <sheetName val="CAPSA dept"/>
      <sheetName val="_"/>
      <sheetName val="P509-65 T0"/>
      <sheetName val="Rules"/>
      <sheetName val="PPS00 ALTER29"/>
      <sheetName val="PU"/>
      <sheetName val="PERIMETRE_A761"/>
      <sheetName val="Volumes_et_mix_PERIODE_(2)1"/>
      <sheetName val="Volumes_et_mix_PERIODE1"/>
      <sheetName val="véh_réf_A7_-_produit1"/>
      <sheetName val="Mix_CC_pays1"/>
      <sheetName val="Mix_CC1"/>
      <sheetName val="contruction_des_PRF1"/>
      <sheetName val="détail_des_marges_par_versions1"/>
      <sheetName val="kit_PRF_J0_1"/>
      <sheetName val="options_prév_1"/>
      <sheetName val="frais_approche1"/>
      <sheetName val="Value_Analysis_-_Sheet_1"/>
      <sheetName val="Agadir_Dyn_5"/>
      <sheetName val="Agadir_Dyn_1"/>
      <sheetName val="Agadir_Dyn_2"/>
      <sheetName val="Agadir_Dyn_3"/>
      <sheetName val="Agadir_Dyn_4"/>
      <sheetName val="Agadir_Dyn_6"/>
      <sheetName val="Agadir_TU5_Stat_7_"/>
      <sheetName val="ST_2,0"/>
      <sheetName val="précadrage_après_chantier"/>
      <sheetName val="TAB_REG"/>
      <sheetName val="planning_VRS_1_T9"/>
      <sheetName val="Value_Summary"/>
      <sheetName val="MARGE_A76_J0"/>
      <sheetName val="PRF_et_PVR_CHIFFRAGE_CEP"/>
      <sheetName val="Variables_Common"/>
      <sheetName val="DA_+_CDE"/>
      <sheetName val="Hebel_Namen"/>
      <sheetName val="Ratio_2016"/>
      <sheetName val="PRF_et_PVR_B0_A58"/>
      <sheetName val="Avant_choix_FNR"/>
      <sheetName val="Après_choix_FNR"/>
      <sheetName val="RéférentielModules_charges_CMON"/>
      <sheetName val="2__General_Input"/>
      <sheetName val="FP_CHARGE"/>
      <sheetName val="Suivi_des_objectifs_-R83"/>
      <sheetName val="Vx_positionnement"/>
      <sheetName val="Mulet_&amp;_Véh__sans_GMP"/>
      <sheetName val="Valo_Proto"/>
      <sheetName val="Récapitulatif_2004"/>
      <sheetName val="Assump_"/>
      <sheetName val="PERIMETRE_A762"/>
      <sheetName val="Volumes_et_mix_PERIODE_(2)2"/>
      <sheetName val="Volumes_et_mix_PERIODE2"/>
      <sheetName val="véh_réf_A7_-_produit2"/>
      <sheetName val="Mix_CC_pays2"/>
      <sheetName val="Mix_CC2"/>
      <sheetName val="contruction_des_PRF2"/>
      <sheetName val="détail_des_marges_par_versions2"/>
      <sheetName val="kit_PRF_J0_2"/>
      <sheetName val="options_prév_2"/>
      <sheetName val="frais_approche2"/>
      <sheetName val="Value_Analysis_-_Sheet_11"/>
      <sheetName val="Agadir_Dyn_51"/>
      <sheetName val="Agadir_Dyn_11"/>
      <sheetName val="Agadir_Dyn_21"/>
      <sheetName val="Agadir_Dyn_31"/>
      <sheetName val="Agadir_Dyn_41"/>
      <sheetName val="Agadir_Dyn_61"/>
      <sheetName val="Agadir_TU5_Stat_7_1"/>
      <sheetName val="ST_2,01"/>
      <sheetName val="précadrage_après_chantier1"/>
      <sheetName val="TAB_REG1"/>
      <sheetName val="planning_VRS_1_T91"/>
      <sheetName val="Value_Summary1"/>
      <sheetName val="MARGE_A76_J01"/>
      <sheetName val="PRF_et_PVR_CHIFFRAGE_CEP1"/>
      <sheetName val="Variables_Common1"/>
      <sheetName val="DA_+_CDE1"/>
      <sheetName val="Hebel_Namen1"/>
      <sheetName val="Ratio_20161"/>
      <sheetName val="PRF_et_PVR_B0_A581"/>
      <sheetName val="Avant_choix_FNR1"/>
      <sheetName val="Après_choix_FNR1"/>
      <sheetName val="RéférentielModules_charges_CMO1"/>
      <sheetName val="2__General_Input1"/>
      <sheetName val="FP_CHARGE1"/>
      <sheetName val="Suivi_des_objectifs_-R831"/>
      <sheetName val="Vx_positionnement1"/>
      <sheetName val="Mulet_&amp;_Véh__sans_GMP1"/>
      <sheetName val="Valo_Proto1"/>
      <sheetName val="Récapitulatif_20041"/>
      <sheetName val="Assump_1"/>
      <sheetName val="PPCT T6"/>
      <sheetName val="PPCT T4"/>
      <sheetName val="Sheet2"/>
      <sheetName val="Sheet1"/>
      <sheetName val="Sheet3"/>
      <sheetName val="Liste_affaires"/>
      <sheetName val="Référentiel_HA_V10"/>
      <sheetName val="EB_NA"/>
      <sheetName val="Menu_déroulant"/>
      <sheetName val="Animation_RT"/>
      <sheetName val="KPI_"/>
      <sheetName val="Choice_list"/>
      <sheetName val="Données pour graph P54C"/>
      <sheetName val="Données pour graph C41"/>
      <sheetName val="BEV EU&amp;WW  -Full ZEV 2030  Flat"/>
      <sheetName val="tag_list"/>
      <sheetName val="CAPSA_dept"/>
      <sheetName val="P509-65_T0"/>
      <sheetName val="SEATS Presta"/>
      <sheetName val="Summary"/>
      <sheetName val="1-List of Packaging"/>
      <sheetName val="2-Transfert VS "/>
      <sheetName val="Convoi FNR PACKMAN"/>
      <sheetName val="3-TCD-CONVOI-FNR-PACKMAN"/>
      <sheetName val="3-convoi_packman"/>
      <sheetName val="CAT_P"/>
      <sheetName val="630-Step1"/>
      <sheetName val="630-Step2"/>
      <sheetName val="Catalogue-Emb"/>
      <sheetName val="PACK_U9"/>
      <sheetName val="Amont"/>
      <sheetName val="Invest_Affaires"/>
      <sheetName val="KPI Completo"/>
      <sheetName val="Base de dados - DI"/>
      <sheetName val="下拉菜单"/>
      <sheetName val="PERIMETRE_A763"/>
      <sheetName val="Volumes_et_mix_PERIODE_(2)3"/>
      <sheetName val="Volumes_et_mix_PERIODE3"/>
      <sheetName val="véh_réf_A7_-_produit3"/>
      <sheetName val="Mix_CC_pays3"/>
      <sheetName val="Mix_CC3"/>
      <sheetName val="contruction_des_PRF3"/>
      <sheetName val="détail_des_marges_par_versions3"/>
      <sheetName val="kit_PRF_J0_3"/>
      <sheetName val="options_prév_3"/>
      <sheetName val="frais_approche3"/>
      <sheetName val="Value_Analysis_-_Sheet_12"/>
      <sheetName val="Agadir_Dyn_52"/>
      <sheetName val="Agadir_Dyn_12"/>
      <sheetName val="Agadir_Dyn_22"/>
      <sheetName val="Agadir_Dyn_32"/>
      <sheetName val="Agadir_Dyn_42"/>
      <sheetName val="Agadir_Dyn_62"/>
      <sheetName val="Agadir_TU5_Stat_7_2"/>
      <sheetName val="ST_2,02"/>
      <sheetName val="précadrage_après_chantier2"/>
      <sheetName val="TAB_REG2"/>
      <sheetName val="planning_VRS_1_T92"/>
      <sheetName val="Value_Summary2"/>
      <sheetName val="MARGE_A76_J02"/>
      <sheetName val="PRF_et_PVR_CHIFFRAGE_CEP2"/>
      <sheetName val="Variables_Common2"/>
      <sheetName val="DA_+_CDE2"/>
      <sheetName val="Ratio_20162"/>
      <sheetName val="Hebel_Namen2"/>
      <sheetName val="PRF_et_PVR_B0_A582"/>
      <sheetName val="Avant_choix_FNR2"/>
      <sheetName val="Après_choix_FNR2"/>
      <sheetName val="RéférentielModules_charges_CMO2"/>
      <sheetName val="2__General_Input2"/>
      <sheetName val="FP_CHARGE2"/>
      <sheetName val="Suivi_des_objectifs_-R832"/>
      <sheetName val="Vx_positionnement2"/>
      <sheetName val="Mulet_&amp;_Véh__sans_GMP2"/>
      <sheetName val="Valo_Proto2"/>
      <sheetName val="Récapitulatif_20042"/>
      <sheetName val="Liste_affaires1"/>
      <sheetName val="Assump_2"/>
      <sheetName val="Référentiel_HA_V101"/>
      <sheetName val="EB_NA1"/>
      <sheetName val="KPI_1"/>
      <sheetName val="Menu_déroulant1"/>
      <sheetName val="Animation_RT1"/>
      <sheetName val="Choice_list1"/>
      <sheetName val="PPS00_ALTER29"/>
      <sheetName val="PPCT_T6"/>
      <sheetName val="PPCT_T4"/>
      <sheetName val="Suppliers"/>
      <sheetName val="tag_list1"/>
      <sheetName val="CAPSA_dept1"/>
      <sheetName val="P509-65_T01"/>
      <sheetName val="RESUMO"/>
      <sheetName val="PERIMETRE_A764"/>
      <sheetName val="Volumes_et_mix_PERIODE_(2)4"/>
      <sheetName val="Volumes_et_mix_PERIODE4"/>
      <sheetName val="véh_réf_A7_-_produit4"/>
      <sheetName val="Mix_CC_pays4"/>
      <sheetName val="Mix_CC4"/>
      <sheetName val="contruction_des_PRF4"/>
      <sheetName val="détail_des_marges_par_versions4"/>
      <sheetName val="kit_PRF_J0_4"/>
      <sheetName val="options_prév_4"/>
      <sheetName val="frais_approche4"/>
      <sheetName val="Value_Analysis_-_Sheet_13"/>
      <sheetName val="Agadir_Dyn_53"/>
      <sheetName val="Agadir_Dyn_13"/>
      <sheetName val="Agadir_Dyn_23"/>
      <sheetName val="Agadir_Dyn_33"/>
      <sheetName val="Agadir_Dyn_43"/>
      <sheetName val="Agadir_Dyn_63"/>
      <sheetName val="Agadir_TU5_Stat_7_3"/>
      <sheetName val="ST_2,03"/>
      <sheetName val="précadrage_après_chantier3"/>
      <sheetName val="TAB_REG3"/>
      <sheetName val="planning_VRS_1_T93"/>
      <sheetName val="Value_Summary3"/>
      <sheetName val="MARGE_A76_J03"/>
      <sheetName val="PRF_et_PVR_CHIFFRAGE_CEP3"/>
      <sheetName val="Variables_Common3"/>
      <sheetName val="Ratio_20163"/>
      <sheetName val="PRF_et_PVR_B0_A583"/>
      <sheetName val="Hebel_Namen3"/>
      <sheetName val="DA_+_CDE3"/>
      <sheetName val="Avant_choix_FNR3"/>
      <sheetName val="Après_choix_FNR3"/>
      <sheetName val="RéférentielModules_charges_CMO3"/>
      <sheetName val="2__General_Input3"/>
      <sheetName val="FP_CHARGE3"/>
      <sheetName val="Suivi_des_objectifs_-R833"/>
      <sheetName val="Vx_positionnement3"/>
      <sheetName val="Mulet_&amp;_Véh__sans_GMP3"/>
      <sheetName val="Valo_Proto3"/>
      <sheetName val="Récapitulatif_20043"/>
      <sheetName val="Assump_3"/>
      <sheetName val="Liste_affaires2"/>
      <sheetName val="Référentiel_HA_V102"/>
      <sheetName val="EB_NA2"/>
      <sheetName val="Menu_déroulant2"/>
      <sheetName val="Animation_RT2"/>
      <sheetName val="KPI_2"/>
      <sheetName val="Choice_list2"/>
      <sheetName val="PPS00_ALTER291"/>
      <sheetName val="PPCT_T61"/>
      <sheetName val="PPCT_T41"/>
      <sheetName val="Données_pour_graph_P54C"/>
      <sheetName val="Données_pour_graph_C41"/>
      <sheetName val="BEV_EU&amp;WW__-Full_ZEV_2030__Flat"/>
      <sheetName val="1-List_of_Packaging"/>
      <sheetName val="2-Transfert_VS_"/>
      <sheetName val="Convoi_FNR_PACKMAN"/>
      <sheetName val="SEATS_Presta"/>
      <sheetName val="KPI_Completo"/>
      <sheetName val="Base_de_dados_-_DI"/>
      <sheetName val="수리결과"/>
      <sheetName val="OFFRE 3 Final"/>
      <sheetName val="Incidencias 3"/>
      <sheetName val="ECOM Mensuel"/>
      <sheetName val="ECOM Periodique"/>
      <sheetName val="tag_list2"/>
      <sheetName val="CAPSA_dept2"/>
      <sheetName val="P509-65_T02"/>
      <sheetName val="XLR_NoRangeSheet"/>
      <sheetName val="PAGE6 M"/>
      <sheetName val="form26"/>
      <sheetName val="Sheet118"/>
      <sheetName val="TAB. DON. ISSUE"/>
      <sheetName val="Rech. Sol.  + Vér. sur Site"/>
      <sheetName val="TAB. DON. ECR"/>
      <sheetName val="PERIMETRE_A765"/>
      <sheetName val="Volumes_et_mix_PERIODE_(2)5"/>
      <sheetName val="Volumes_et_mix_PERIODE5"/>
      <sheetName val="véh_réf_A7_-_produit5"/>
      <sheetName val="Mix_CC_pays5"/>
      <sheetName val="Mix_CC5"/>
      <sheetName val="contruction_des_PRF5"/>
      <sheetName val="détail_des_marges_par_versions5"/>
      <sheetName val="kit_PRF_J0_5"/>
      <sheetName val="options_prév_5"/>
      <sheetName val="frais_approche5"/>
      <sheetName val="Value_Analysis_-_Sheet_14"/>
      <sheetName val="Agadir_Dyn_54"/>
      <sheetName val="Agadir_Dyn_14"/>
      <sheetName val="Agadir_Dyn_24"/>
      <sheetName val="Agadir_Dyn_34"/>
      <sheetName val="Agadir_Dyn_44"/>
      <sheetName val="Agadir_Dyn_64"/>
      <sheetName val="Agadir_TU5_Stat_7_4"/>
      <sheetName val="ST_2,04"/>
      <sheetName val="précadrage_après_chantier4"/>
      <sheetName val="TAB_REG4"/>
      <sheetName val="planning_VRS_1_T94"/>
      <sheetName val="Value_Summary4"/>
      <sheetName val="MARGE_A76_J04"/>
      <sheetName val="PRF_et_PVR_CHIFFRAGE_CEP4"/>
      <sheetName val="Variables_Common4"/>
      <sheetName val="Ratio_20164"/>
      <sheetName val="DA_+_CDE4"/>
      <sheetName val="Hebel_Namen4"/>
      <sheetName val="PRF_et_PVR_B0_A584"/>
      <sheetName val="Avant_choix_FNR4"/>
      <sheetName val="Après_choix_FNR4"/>
      <sheetName val="RéférentielModules_charges_CMO4"/>
      <sheetName val="2__General_Input4"/>
      <sheetName val="FP_CHARGE4"/>
      <sheetName val="Suivi_des_objectifs_-R834"/>
      <sheetName val="Vx_positionnement4"/>
      <sheetName val="Mulet_&amp;_Véh__sans_GMP4"/>
      <sheetName val="Valo_Proto4"/>
      <sheetName val="Récapitulatif_20044"/>
      <sheetName val="Assump_4"/>
      <sheetName val="Liste_affaires3"/>
      <sheetName val="EB_NA3"/>
      <sheetName val="Référentiel_HA_V103"/>
      <sheetName val="Menu_déroulant3"/>
      <sheetName val="Animation_RT3"/>
      <sheetName val="KPI_3"/>
      <sheetName val="Choice_list3"/>
      <sheetName val="tag_list3"/>
      <sheetName val="CAPSA_dept3"/>
      <sheetName val="P509-65_T03"/>
      <sheetName val="PPS00_ALTER292"/>
      <sheetName val="PPCT_T62"/>
      <sheetName val="PPCT_T42"/>
      <sheetName val="Données_pour_graph_P54C1"/>
      <sheetName val="Données_pour_graph_C411"/>
      <sheetName val="BEV_EU&amp;WW__-Full_ZEV_2030__Fla1"/>
      <sheetName val="KPI_Completo1"/>
      <sheetName val="Base_de_dados_-_DI1"/>
      <sheetName val="1-List_of_Packaging1"/>
      <sheetName val="2-Transfert_VS_1"/>
      <sheetName val="Convoi_FNR_PACKMAN1"/>
      <sheetName val="SEATS_Presta1"/>
      <sheetName val="ECOM_Mensuel"/>
      <sheetName val="ECOM_Periodique"/>
      <sheetName val="OFFRE_3_Final"/>
      <sheetName val="Incidencias_3"/>
      <sheetName val="PAGE6_M"/>
      <sheetName val="PREVDEPAC"/>
      <sheetName val="GLOBAL POWERTRAIN"/>
      <sheetName val="Change"/>
      <sheetName val="Hypothèses"/>
      <sheetName val="VA"/>
      <sheetName val="PRESENTATION"/>
      <sheetName val="Value Summary Citroën"/>
      <sheetName val="Dealer Code Lookup Table"/>
      <sheetName val="Synthèse Diversité"/>
      <sheetName val="Porte"/>
      <sheetName val="Ev base"/>
      <sheetName val="infos"/>
      <sheetName val="FST_Individuel ACTIF"/>
      <sheetName val="CDC_G"/>
      <sheetName val="ACCN51"/>
      <sheetName val="PLATEFORME"/>
      <sheetName val="Rev Commitm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/>
      <sheetData sheetId="144" refreshError="1"/>
      <sheetData sheetId="145" refreshError="1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 refreshError="1"/>
      <sheetData sheetId="243" refreshError="1"/>
      <sheetData sheetId="244" refreshError="1"/>
      <sheetData sheetId="245"/>
      <sheetData sheetId="246"/>
      <sheetData sheetId="247"/>
      <sheetData sheetId="248" refreshError="1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 refreshError="1"/>
      <sheetData sheetId="318"/>
      <sheetData sheetId="319"/>
      <sheetData sheetId="320"/>
      <sheetData sheetId="321" refreshError="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/>
      <sheetData sheetId="389"/>
      <sheetData sheetId="390"/>
      <sheetData sheetId="391" refreshError="1"/>
      <sheetData sheetId="392" refreshError="1"/>
      <sheetData sheetId="393" refreshError="1"/>
      <sheetData sheetId="394"/>
      <sheetData sheetId="395" refreshError="1"/>
      <sheetData sheetId="396" refreshError="1"/>
      <sheetData sheetId="397" refreshError="1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lozeryserru"/>
      <sheetName val="trav-trans "/>
      <sheetName val="PREVSVO"/>
      <sheetName val="PREVSVO (2)"/>
      <sheetName val="caddesti"/>
      <sheetName val="STOCKAP"/>
      <sheetName val="STOCK "/>
      <sheetName val="destailcp"/>
      <sheetName val="feuille garde"/>
      <sheetName val=" garde "/>
      <sheetName val="3009"/>
      <sheetName val="3110"/>
      <sheetName val="10"/>
      <sheetName val="RATIO-R-CP-RES"/>
      <sheetName val="A.P."/>
      <sheetName val="A.P.+ AUTRES"/>
      <sheetName val="A.P.mois"/>
      <sheetName val="A.P.+ AUTRES mois"/>
      <sheetName val="C.P._C.P. A.P."/>
      <sheetName val="C.P._C.P."/>
      <sheetName val="budget_C.P. A.P. "/>
      <sheetName val="BUDGET_ C.P."/>
      <sheetName val="REEL-PREV "/>
      <sheetName val="REEL+PREV RATIO"/>
      <sheetName val="RATIO R-CP-RES- AP"/>
      <sheetName val="DETAIL AP"/>
      <sheetName val="AP"/>
      <sheetName val="DMC"/>
      <sheetName val="SODEXA"/>
      <sheetName val="IMPORT"/>
      <sheetName val="REPR VVP"/>
      <sheetName val="A.MARQUES"/>
      <sheetName val="FILIALE "/>
      <sheetName val="TOTAL"/>
      <sheetName val="DEPAP"/>
      <sheetName val="DEPAMARQUES"/>
      <sheetName val="DEPREP"/>
      <sheetName val="DEPDMC"/>
      <sheetName val="DEPSOD"/>
      <sheetName val="DEPIMP"/>
      <sheetName val="DEPFIL"/>
      <sheetName val="DEPTOTAL"/>
      <sheetName val="caddestibudget"/>
      <sheetName val="STOCKAPbudget"/>
      <sheetName val="STOCKbudget"/>
      <sheetName val="destailbudget"/>
      <sheetName val="detail apbudget"/>
      <sheetName val="apBUDGET"/>
      <sheetName val="DMCbudget"/>
      <sheetName val="sodexabudget"/>
      <sheetName val="importbudget"/>
      <sheetName val="repvvpbudget"/>
      <sheetName val="fililalebudget"/>
      <sheetName val="total budget"/>
      <sheetName val="#REF"/>
      <sheetName val="CP121999"/>
      <sheetName val="vardepre"/>
      <sheetName val="Garde"/>
      <sheetName val="Sommaire"/>
      <sheetName val="1"/>
      <sheetName val="2"/>
      <sheetName val="3"/>
      <sheetName val="4-5"/>
      <sheetName val="6"/>
      <sheetName val="7"/>
      <sheetName val="8"/>
      <sheetName val="9"/>
      <sheetName val="11"/>
      <sheetName val="12"/>
      <sheetName val="13"/>
      <sheetName val="14"/>
      <sheetName val="Variance"/>
      <sheetName val="VO"/>
      <sheetName val="Feuil1"/>
      <sheetName val="Marge OP REEL 2004"/>
      <sheetName val="Italie bdg 2005"/>
      <sheetName val="Italie bdg 2005 AO"/>
      <sheetName val="BDG MENS "/>
      <sheetName val="BDG MENS A0"/>
      <sheetName val="ITALIE"/>
      <sheetName val="ITA VP"/>
      <sheetName val="ITA VU"/>
      <sheetName val="ITA VTE"/>
      <sheetName val="ITA VCAR"/>
      <sheetName val="CP 03 A0"/>
      <sheetName val="Sheet1"/>
      <sheetName val="Sheet2"/>
      <sheetName val="Sheet3"/>
      <sheetName val="bd_ap"/>
      <sheetName val="bd_ac"/>
      <sheetName val=" lozery_x001c_Ò_x0012__x0000_E"/>
      <sheetName val=""/>
      <sheetName val="DE"/>
      <sheetName val="Mise à jour "/>
      <sheetName val="ADMC"/>
      <sheetName val="ALLEMAGNE"/>
      <sheetName val="MANUELCAMPAYS "/>
      <sheetName val="Paramètres"/>
      <sheetName val="PERIMETRE A76"/>
      <sheetName val="Cadences"/>
      <sheetName val="Données"/>
      <sheetName val="zx"/>
      <sheetName val="PG"/>
      <sheetName val="FINANC"/>
      <sheetName val="Import2"/>
      <sheetName val="DAIC"/>
      <sheetName val="TOUS"/>
      <sheetName val="global"/>
      <sheetName val="PARA"/>
      <sheetName val=" lozery_x001c_Ò_x0012_?E"/>
      <sheetName val="Variables Common"/>
      <sheetName val="TAB MOD"/>
      <sheetName val="TAB REG"/>
      <sheetName val="INTERFACE"/>
      <sheetName val="data_sources"/>
      <sheetName val="Kit PRF X8-9"/>
      <sheetName val="DEXF1 CYC"/>
      <sheetName val="param"/>
      <sheetName val="BKDown"/>
      <sheetName val="PR6mois"/>
      <sheetName val="Emprunt"/>
      <sheetName val="Page 4&amp;5"/>
      <sheetName val="PSA_DF"/>
      <sheetName val="Value Analysis - Sheet 1"/>
      <sheetName val="Basis"/>
      <sheetName val="CAMPAIGN AVERAGE F"/>
      <sheetName val=" lozery_x001c_Ò_x0012_"/>
      <sheetName val=" lozery_x001c_Ò_x0012__E"/>
      <sheetName val="EST2000"/>
      <sheetName val="1stqtr"/>
      <sheetName val="2ndqtr"/>
      <sheetName val="Fiesta"/>
      <sheetName val="ECOM Periodique"/>
      <sheetName val="ECOM Mensuel"/>
      <sheetName val="Cartouche"/>
      <sheetName val="Volume  2005"/>
      <sheetName val="2002CB"/>
      <sheetName val="ACCUEIL"/>
      <sheetName val="ECOM Men FAM AP"/>
      <sheetName val="SMON Per FAM AP"/>
      <sheetName val="SMON Per FAM AC"/>
      <sheetName val="SMON Men FAM AP"/>
      <sheetName val="SMON Men FAM AC"/>
      <sheetName val="Comparac"/>
      <sheetName val="fondo promedio"/>
      <sheetName val="GRÁFICO DE FONDO POR AFILIADO"/>
      <sheetName val="PARAMETRES"/>
      <sheetName val="PARAME"/>
      <sheetName val="STR"/>
      <sheetName val="variables"/>
      <sheetName val="Achats"/>
      <sheetName val="Presentation"/>
      <sheetName val="Pénétrations"/>
      <sheetName val="Balance"/>
      <sheetName val="Selling Summary"/>
      <sheetName val="Chiffrage(total feuil.)"/>
      <sheetName val="Chiffrage (307)"/>
      <sheetName val="Chiffrage (406)"/>
      <sheetName val="PARC"/>
      <sheetName val="Taux_MO_2004"/>
      <sheetName val="GHIA berl"/>
      <sheetName val="Données CHARxxx.wk1_A1"/>
      <sheetName val="FRANCE"/>
      <sheetName val="Plan3"/>
      <sheetName val="YKH"/>
      <sheetName val="96totcstsum"/>
      <sheetName val="306"/>
      <sheetName val="Config liste deroulante"/>
      <sheetName val="ARGIMMAT"/>
      <sheetName val="Marge Com Invoices"/>
      <sheetName val="MCV"/>
      <sheetName val="RBCV"/>
      <sheetName val="P&amp;L Cumul"/>
      <sheetName val="P&amp;L M"/>
      <sheetName val="HISTORICO"/>
      <sheetName val="Parameters"/>
      <sheetName val="Recherche"/>
      <sheetName val="Macro1"/>
      <sheetName val="BILAN MECA 2"/>
      <sheetName val="realfrns"/>
      <sheetName val="Tools"/>
      <sheetName val="Macro5"/>
      <sheetName val="PVR FRA"/>
      <sheetName val="page1 (f)"/>
      <sheetName val="Evolutions"/>
      <sheetName val="Assumptions"/>
      <sheetName val="list param"/>
      <sheetName val="Prév Tréso"/>
      <sheetName val="Gamme Enveloppe €4"/>
      <sheetName val="AMO"/>
      <sheetName val=" lozery_x005f_x001c_Ò_x005f_x0012__x005f_x0000_E"/>
      <sheetName val=" lozery_x005f_x001c_Ò_x005f_x0012_?E"/>
      <sheetName val=" lozery_x005f_x001c_Ò_x005f_x0012_"/>
      <sheetName val=" lozery_x005f_x001c_Ò_x005f_x0012__E"/>
      <sheetName val=" lozery_x005f_x005f_x005f_x001c_Ò_x005f_x005f_x00"/>
      <sheetName val=" lozery_x005f_x005f_x005f_x005f_x005f_x005f_x001c"/>
      <sheetName val="MOTO"/>
      <sheetName val=" lozery_x005f_x005f_x005f_x005f_x005f_x005f_x005f"/>
      <sheetName val="Panier Avant"/>
      <sheetName val="Panier Arriere"/>
      <sheetName val="Panier Latéral"/>
      <sheetName val="Simu VF LLD"/>
      <sheetName val="F 1.2"/>
      <sheetName val="기안"/>
      <sheetName val="volumes PF"/>
      <sheetName val="Datos"/>
      <sheetName val="HypoPxC4"/>
      <sheetName val="A94 Socle"/>
      <sheetName val="Summary"/>
      <sheetName val="1-List of Packaging"/>
      <sheetName val="2-Transfert VS "/>
      <sheetName val="Convoi FNR PACKMAN"/>
      <sheetName val="3-TCD-CONVOI-FNR-PACKMAN"/>
      <sheetName val="3-convoi_packman"/>
      <sheetName val="CAT_P"/>
      <sheetName val="630-Step1"/>
      <sheetName val="630-Step2"/>
      <sheetName val="Catalogue-Emb"/>
      <sheetName val="PACK_U9"/>
      <sheetName val="Amont"/>
      <sheetName val="Invest_Affaires"/>
      <sheetName val="_lozeryserru"/>
      <sheetName val="trav-trans_"/>
      <sheetName val="PREVSVO_(2)"/>
      <sheetName val="STOCK_"/>
      <sheetName val="feuille_garde"/>
      <sheetName val="_garde_"/>
      <sheetName val="A_P_"/>
      <sheetName val="A_P_+_AUTRES"/>
      <sheetName val="A_P_mois"/>
      <sheetName val="A_P_+_AUTRES_mois"/>
      <sheetName val="C_P__C_P__A_P_"/>
      <sheetName val="C_P__C_P_"/>
      <sheetName val="budget_C_P__A_P__"/>
      <sheetName val="BUDGET__C_P_"/>
      <sheetName val="REEL-PREV_"/>
      <sheetName val="REEL+PREV_RATIO"/>
      <sheetName val="RATIO_R-CP-RES-_AP"/>
      <sheetName val="DETAIL_AP"/>
      <sheetName val="REPR_VVP"/>
      <sheetName val="A_MARQUES"/>
      <sheetName val="FILIALE_"/>
      <sheetName val="detail_apbudget"/>
      <sheetName val="total_budget"/>
      <sheetName val="Marge_OP_REEL_2004"/>
      <sheetName val="Italie_bdg_2005"/>
      <sheetName val="Italie_bdg_2005_AO"/>
      <sheetName val="BDG_MENS_"/>
      <sheetName val="BDG_MENS_A0"/>
      <sheetName val="ITA_VP"/>
      <sheetName val="ITA_VU"/>
      <sheetName val="ITA_VTE"/>
      <sheetName val="ITA_VCAR"/>
      <sheetName val="CP_03_A0"/>
      <sheetName val="_lozeryÒE"/>
      <sheetName val="Mise_à_jour_"/>
      <sheetName val="MANUELCAMPAYS_"/>
      <sheetName val="PERIMETRE_A76"/>
      <sheetName val="Kit_PRF_X8-9"/>
      <sheetName val="_lozeryÒ?E"/>
      <sheetName val="Variables_Common"/>
      <sheetName val="DEXF1_CYC"/>
      <sheetName val="TAB_MOD"/>
      <sheetName val="TAB_REG"/>
      <sheetName val="Page_4&amp;5"/>
      <sheetName val="Value_Analysis_-_Sheet_1"/>
      <sheetName val="CAMPAIGN_AVERAGE_F"/>
      <sheetName val="_lozeryÒ"/>
      <sheetName val="_lozeryÒ_E"/>
      <sheetName val="ECOM_Mensuel"/>
      <sheetName val="ECOM_Periodique"/>
      <sheetName val="Volume__2005"/>
      <sheetName val="ECOM_Men_FAM_AP"/>
      <sheetName val="SMON_Per_FAM_AP"/>
      <sheetName val="SMON_Per_FAM_AC"/>
      <sheetName val="SMON_Men_FAM_AP"/>
      <sheetName val="SMON_Men_FAM_AC"/>
      <sheetName val="fondo_promedio"/>
      <sheetName val="GRÁFICO_DE_FONDO_POR_AFILIADO"/>
      <sheetName val="GHIA_berl"/>
      <sheetName val="Données_CHARxxx_wk1_A1"/>
      <sheetName val="Chiffrage(total_feuil_)"/>
      <sheetName val="Chiffrage_(307)"/>
      <sheetName val="Chiffrage_(406)"/>
      <sheetName val="Selling_Summary"/>
      <sheetName val="Marge_Com_Invoices"/>
      <sheetName val="P&amp;L_Cumul"/>
      <sheetName val="P&amp;L_M"/>
      <sheetName val="Config_liste_deroulante"/>
      <sheetName val="Hypothèses"/>
      <sheetName val="部门申报"/>
      <sheetName val="1.7"/>
      <sheetName val="Lande_Mix"/>
      <sheetName val="ECOLOGIA"/>
      <sheetName val="BILAN_MECA_2"/>
      <sheetName val="PVR_FRA"/>
      <sheetName val="page1_(f)"/>
      <sheetName val="list_param"/>
      <sheetName val="Gamme_Enveloppe_€4"/>
      <sheetName val="Prév_Tréso"/>
      <sheetName val="_lozery_x005f_x001c_Ò_x005f_x0012__x005f_x0000_E"/>
      <sheetName val="_lozery_x005f_x001c_Ò_x005f_x0012_?E"/>
      <sheetName val="_lozery_x005f_x001c_Ò_x005f_x0012_"/>
      <sheetName val="_lozery_x005f_x001c_Ò_x005f_x0012__E"/>
      <sheetName val="_lozery_x005f_x005f_x005f_x001c_Ò_x005f_x005f_x00"/>
      <sheetName val="_lozery_x005f_x005f_x005f_x005f_x005f_x005f_x001c"/>
      <sheetName val="_lozery_x005f_x005f_x005f_x005f_x005f_x005f_x005f"/>
      <sheetName val="Panier_Avant"/>
      <sheetName val="Panier_Arriere"/>
      <sheetName val="Panier_Latéral"/>
      <sheetName val="Simu_VF_LLD"/>
      <sheetName val="F_1_2"/>
      <sheetName val="volumes_PF"/>
      <sheetName val="A94_Socle"/>
      <sheetName val="1_7"/>
      <sheetName val="1-List_of_Packaging"/>
      <sheetName val="2-Transfert_VS_"/>
      <sheetName val="Convoi_FNR_PACKMAN"/>
      <sheetName val="EurotoolsXRates"/>
      <sheetName val="94_Qtr"/>
      <sheetName val="Synthèse"/>
      <sheetName val="D"/>
      <sheetName val="PVR PRF"/>
      <sheetName val="_lozeryserru1"/>
      <sheetName val="trav-trans_1"/>
      <sheetName val="PREVSVO_(2)1"/>
      <sheetName val="STOCK_1"/>
      <sheetName val="feuille_garde1"/>
      <sheetName val="_garde_1"/>
      <sheetName val="A_P_1"/>
      <sheetName val="A_P_+_AUTRES1"/>
      <sheetName val="A_P_mois1"/>
      <sheetName val="A_P_+_AUTRES_mois1"/>
      <sheetName val="C_P__C_P__A_P_1"/>
      <sheetName val="C_P__C_P_1"/>
      <sheetName val="budget_C_P__A_P__1"/>
      <sheetName val="BUDGET__C_P_1"/>
      <sheetName val="REEL-PREV_1"/>
      <sheetName val="REEL+PREV_RATIO1"/>
      <sheetName val="RATIO_R-CP-RES-_AP1"/>
      <sheetName val="DETAIL_AP1"/>
      <sheetName val="REPR_VVP1"/>
      <sheetName val="A_MARQUES1"/>
      <sheetName val="FILIALE_1"/>
      <sheetName val="detail_apbudget1"/>
      <sheetName val="total_budget1"/>
      <sheetName val="Marge_OP_REEL_20041"/>
      <sheetName val="Italie_bdg_20051"/>
      <sheetName val="Italie_bdg_2005_AO1"/>
      <sheetName val="BDG_MENS_1"/>
      <sheetName val="BDG_MENS_A01"/>
      <sheetName val="ITA_VP1"/>
      <sheetName val="ITA_VU1"/>
      <sheetName val="ITA_VTE1"/>
      <sheetName val="ITA_VCAR1"/>
      <sheetName val="CP_03_A01"/>
      <sheetName val="Mise_à_jour_1"/>
      <sheetName val="MANUELCAMPAYS_1"/>
      <sheetName val="PERIMETRE_A761"/>
      <sheetName val="Variables_Common1"/>
      <sheetName val="DEXF1_CYC1"/>
      <sheetName val="Kit_PRF_X8-91"/>
      <sheetName val="TAB_MOD1"/>
      <sheetName val="TAB_REG1"/>
      <sheetName val="Page_4&amp;51"/>
      <sheetName val="Value_Analysis_-_Sheet_11"/>
      <sheetName val="CAMPAIGN_AVERAGE_F1"/>
      <sheetName val="ECOM_Mensuel1"/>
      <sheetName val="ECOM_Periodique1"/>
      <sheetName val="Volume__20051"/>
      <sheetName val="ECOM_Men_FAM_AP1"/>
      <sheetName val="SMON_Per_FAM_AP1"/>
      <sheetName val="SMON_Per_FAM_AC1"/>
      <sheetName val="SMON_Men_FAM_AP1"/>
      <sheetName val="SMON_Men_FAM_AC1"/>
      <sheetName val="fondo_promedio1"/>
      <sheetName val="GRÁFICO_DE_FONDO_POR_AFILIADO1"/>
      <sheetName val="Chiffrage(total_feuil_)1"/>
      <sheetName val="Chiffrage_(307)1"/>
      <sheetName val="Chiffrage_(406)1"/>
      <sheetName val="Selling_Summary1"/>
      <sheetName val="GHIA_berl1"/>
      <sheetName val="Données_CHARxxx_wk1_A11"/>
      <sheetName val="Marge_Com_Invoices1"/>
      <sheetName val="P&amp;L_Cumul1"/>
      <sheetName val="P&amp;L_M1"/>
      <sheetName val="Config_liste_deroulante1"/>
      <sheetName val="BILAN_MECA_21"/>
      <sheetName val="PVR_FRA1"/>
      <sheetName val="page1_(f)1"/>
      <sheetName val="list_param1"/>
      <sheetName val="Prév_Tréso1"/>
      <sheetName val="Gamme_Enveloppe_€41"/>
      <sheetName val="_lozery_x005f_x001c_Ò_x005f_x0012__x005f_x0000_E1"/>
      <sheetName val="_lozery_x005f_x001c_Ò_x005f_x0012_?E1"/>
      <sheetName val="_lozery_x005f_x001c_Ò_x005f_x0012_1"/>
      <sheetName val="_lozery_x005f_x001c_Ò_x005f_x0012__E1"/>
      <sheetName val="_lozery_x005f_x005f_x005f_x001c_Ò_x005f_x005f_x01"/>
      <sheetName val="_lozery_x005f_x005f_x005f_x005f_x005f_x005f_x0011"/>
      <sheetName val="_lozery_x005f_x005f_x005f_x005f_x005f_x005f_x0051"/>
      <sheetName val="Panier_Avant1"/>
      <sheetName val="Panier_Arriere1"/>
      <sheetName val="Panier_Latéral1"/>
      <sheetName val="Simu_VF_LLD1"/>
      <sheetName val="F_1_21"/>
      <sheetName val="volumes_PF1"/>
      <sheetName val="A94_Socle1"/>
      <sheetName val="1_71"/>
      <sheetName val="1-List_of_Packaging1"/>
      <sheetName val="2-Transfert_VS_1"/>
      <sheetName val="Convoi_FNR_PACKMAN1"/>
      <sheetName val="PVR_PRF"/>
      <sheetName val="_lozeryserru2"/>
      <sheetName val="trav-trans_2"/>
      <sheetName val="PREVSVO_(2)2"/>
      <sheetName val="STOCK_2"/>
      <sheetName val="feuille_garde2"/>
      <sheetName val="_garde_2"/>
      <sheetName val="A_P_2"/>
      <sheetName val="A_P_+_AUTRES2"/>
      <sheetName val="A_P_mois2"/>
      <sheetName val="A_P_+_AUTRES_mois2"/>
      <sheetName val="C_P__C_P__A_P_2"/>
      <sheetName val="C_P__C_P_2"/>
      <sheetName val="budget_C_P__A_P__2"/>
      <sheetName val="BUDGET__C_P_2"/>
      <sheetName val="REEL-PREV_2"/>
      <sheetName val="REEL+PREV_RATIO2"/>
      <sheetName val="RATIO_R-CP-RES-_AP2"/>
      <sheetName val="DETAIL_AP2"/>
      <sheetName val="REPR_VVP2"/>
      <sheetName val="A_MARQUES2"/>
      <sheetName val="FILIALE_2"/>
      <sheetName val="detail_apbudget2"/>
      <sheetName val="total_budget2"/>
      <sheetName val="Marge_OP_REEL_20042"/>
      <sheetName val="Italie_bdg_20052"/>
      <sheetName val="Italie_bdg_2005_AO2"/>
      <sheetName val="BDG_MENS_2"/>
      <sheetName val="BDG_MENS_A02"/>
      <sheetName val="ITA_VP2"/>
      <sheetName val="ITA_VU2"/>
      <sheetName val="ITA_VTE2"/>
      <sheetName val="ITA_VCAR2"/>
      <sheetName val="CP_03_A02"/>
      <sheetName val="Mise_à_jour_2"/>
      <sheetName val="MANUELCAMPAYS_2"/>
      <sheetName val="PERIMETRE_A762"/>
      <sheetName val="Variables_Common2"/>
      <sheetName val="DEXF1_CYC2"/>
      <sheetName val="Kit_PRF_X8-92"/>
      <sheetName val="TAB_MOD2"/>
      <sheetName val="TAB_REG2"/>
      <sheetName val="Page_4&amp;52"/>
      <sheetName val="Value_Analysis_-_Sheet_12"/>
      <sheetName val="CAMPAIGN_AVERAGE_F2"/>
      <sheetName val="ECOM_Mensuel2"/>
      <sheetName val="ECOM_Periodique2"/>
      <sheetName val="Volume__20052"/>
      <sheetName val="ECOM_Men_FAM_AP2"/>
      <sheetName val="SMON_Per_FAM_AP2"/>
      <sheetName val="SMON_Per_FAM_AC2"/>
      <sheetName val="SMON_Men_FAM_AP2"/>
      <sheetName val="SMON_Men_FAM_AC2"/>
      <sheetName val="fondo_promedio2"/>
      <sheetName val="GRÁFICO_DE_FONDO_POR_AFILIADO2"/>
      <sheetName val="Chiffrage(total_feuil_)2"/>
      <sheetName val="Chiffrage_(307)2"/>
      <sheetName val="Chiffrage_(406)2"/>
      <sheetName val="Selling_Summary2"/>
      <sheetName val="GHIA_berl2"/>
      <sheetName val="Données_CHARxxx_wk1_A12"/>
      <sheetName val="Marge_Com_Invoices2"/>
      <sheetName val="P&amp;L_Cumul2"/>
      <sheetName val="P&amp;L_M2"/>
      <sheetName val="Config_liste_deroulante2"/>
      <sheetName val="BILAN_MECA_22"/>
      <sheetName val="PVR_FRA2"/>
      <sheetName val="page1_(f)2"/>
      <sheetName val="list_param2"/>
      <sheetName val="Prév_Tréso2"/>
      <sheetName val="Gamme_Enveloppe_€42"/>
      <sheetName val="_lozery_x005f_x001c_Ò_x005f_x0012__x005f_x0000_E2"/>
      <sheetName val="_lozery_x005f_x001c_Ò_x005f_x0012_?E2"/>
      <sheetName val="_lozery_x005f_x001c_Ò_x005f_x0012_2"/>
      <sheetName val="_lozery_x005f_x001c_Ò_x005f_x0012__E2"/>
      <sheetName val="_lozery_x005f_x005f_x005f_x001c_Ò_x005f_x005f_x02"/>
      <sheetName val="_lozery_x005f_x005f_x005f_x005f_x005f_x005f_x0012"/>
      <sheetName val="_lozery_x005f_x005f_x005f_x005f_x005f_x005f_x0052"/>
      <sheetName val="Panier_Avant2"/>
      <sheetName val="Panier_Arriere2"/>
      <sheetName val="Panier_Latéral2"/>
      <sheetName val="Simu_VF_LLD2"/>
      <sheetName val="F_1_22"/>
      <sheetName val="volumes_PF2"/>
      <sheetName val="A94_Socle2"/>
      <sheetName val="1_72"/>
      <sheetName val="1-List_of_Packaging2"/>
      <sheetName val="2-Transfert_VS_2"/>
      <sheetName val="Convoi_FNR_PACKMAN2"/>
      <sheetName val="PVR_PRF1"/>
      <sheetName val="_lozeryserru4"/>
      <sheetName val="trav-trans_4"/>
      <sheetName val="PREVSVO_(2)4"/>
      <sheetName val="STOCK_4"/>
      <sheetName val="feuille_garde4"/>
      <sheetName val="_garde_4"/>
      <sheetName val="A_P_4"/>
      <sheetName val="A_P_+_AUTRES4"/>
      <sheetName val="A_P_mois4"/>
      <sheetName val="A_P_+_AUTRES_mois4"/>
      <sheetName val="C_P__C_P__A_P_4"/>
      <sheetName val="C_P__C_P_4"/>
      <sheetName val="budget_C_P__A_P__4"/>
      <sheetName val="BUDGET__C_P_4"/>
      <sheetName val="REEL-PREV_4"/>
      <sheetName val="REEL+PREV_RATIO4"/>
      <sheetName val="RATIO_R-CP-RES-_AP4"/>
      <sheetName val="DETAIL_AP4"/>
      <sheetName val="REPR_VVP4"/>
      <sheetName val="A_MARQUES4"/>
      <sheetName val="FILIALE_4"/>
      <sheetName val="detail_apbudget4"/>
      <sheetName val="total_budget4"/>
      <sheetName val="Marge_OP_REEL_20044"/>
      <sheetName val="Italie_bdg_20054"/>
      <sheetName val="Italie_bdg_2005_AO4"/>
      <sheetName val="BDG_MENS_4"/>
      <sheetName val="BDG_MENS_A04"/>
      <sheetName val="ITA_VP4"/>
      <sheetName val="ITA_VU4"/>
      <sheetName val="ITA_VTE4"/>
      <sheetName val="ITA_VCAR4"/>
      <sheetName val="CP_03_A04"/>
      <sheetName val="Mise_à_jour_4"/>
      <sheetName val="MANUELCAMPAYS_4"/>
      <sheetName val="PERIMETRE_A764"/>
      <sheetName val="Variables_Common4"/>
      <sheetName val="DEXF1_CYC4"/>
      <sheetName val="Kit_PRF_X8-94"/>
      <sheetName val="TAB_MOD4"/>
      <sheetName val="TAB_REG4"/>
      <sheetName val="Page_4&amp;54"/>
      <sheetName val="Value_Analysis_-_Sheet_14"/>
      <sheetName val="CAMPAIGN_AVERAGE_F4"/>
      <sheetName val="ECOM_Mensuel4"/>
      <sheetName val="ECOM_Periodique4"/>
      <sheetName val="Volume__20054"/>
      <sheetName val="ECOM_Men_FAM_AP4"/>
      <sheetName val="SMON_Per_FAM_AP4"/>
      <sheetName val="SMON_Per_FAM_AC4"/>
      <sheetName val="SMON_Men_FAM_AP4"/>
      <sheetName val="SMON_Men_FAM_AC4"/>
      <sheetName val="fondo_promedio4"/>
      <sheetName val="GRÁFICO_DE_FONDO_POR_AFILIADO4"/>
      <sheetName val="Chiffrage(total_feuil_)4"/>
      <sheetName val="Chiffrage_(307)4"/>
      <sheetName val="Chiffrage_(406)4"/>
      <sheetName val="Selling_Summary4"/>
      <sheetName val="GHIA_berl4"/>
      <sheetName val="Données_CHARxxx_wk1_A14"/>
      <sheetName val="Marge_Com_Invoices4"/>
      <sheetName val="P&amp;L_Cumul4"/>
      <sheetName val="P&amp;L_M4"/>
      <sheetName val="Config_liste_deroulante4"/>
      <sheetName val="BILAN_MECA_24"/>
      <sheetName val="PVR_FRA4"/>
      <sheetName val="page1_(f)4"/>
      <sheetName val="list_param4"/>
      <sheetName val="Prév_Tréso4"/>
      <sheetName val="Gamme_Enveloppe_€44"/>
      <sheetName val="_lozery_x005f_x001c_Ò_x005f_x0012__x005f_x0000_E4"/>
      <sheetName val="_lozery_x005f_x001c_Ò_x005f_x0012_?E4"/>
      <sheetName val="_lozery_x005f_x001c_Ò_x005f_x0012_4"/>
      <sheetName val="_lozery_x005f_x001c_Ò_x005f_x0012__E4"/>
      <sheetName val="_lozery_x005f_x005f_x005f_x001c_Ò_x005f_x005f_x04"/>
      <sheetName val="_lozery_x005f_x005f_x005f_x005f_x005f_x005f_x0014"/>
      <sheetName val="_lozery_x005f_x005f_x005f_x005f_x005f_x005f_x0054"/>
      <sheetName val="Panier_Avant4"/>
      <sheetName val="Panier_Arriere4"/>
      <sheetName val="Panier_Latéral4"/>
      <sheetName val="Simu_VF_LLD4"/>
      <sheetName val="F_1_24"/>
      <sheetName val="volumes_PF4"/>
      <sheetName val="A94_Socle4"/>
      <sheetName val="1_74"/>
      <sheetName val="1-List_of_Packaging4"/>
      <sheetName val="2-Transfert_VS_4"/>
      <sheetName val="Convoi_FNR_PACKMAN4"/>
      <sheetName val="PVR_PRF3"/>
      <sheetName val="_lozeryserru3"/>
      <sheetName val="trav-trans_3"/>
      <sheetName val="PREVSVO_(2)3"/>
      <sheetName val="STOCK_3"/>
      <sheetName val="feuille_garde3"/>
      <sheetName val="_garde_3"/>
      <sheetName val="A_P_3"/>
      <sheetName val="A_P_+_AUTRES3"/>
      <sheetName val="A_P_mois3"/>
      <sheetName val="A_P_+_AUTRES_mois3"/>
      <sheetName val="C_P__C_P__A_P_3"/>
      <sheetName val="C_P__C_P_3"/>
      <sheetName val="budget_C_P__A_P__3"/>
      <sheetName val="BUDGET__C_P_3"/>
      <sheetName val="REEL-PREV_3"/>
      <sheetName val="REEL+PREV_RATIO3"/>
      <sheetName val="RATIO_R-CP-RES-_AP3"/>
      <sheetName val="DETAIL_AP3"/>
      <sheetName val="REPR_VVP3"/>
      <sheetName val="A_MARQUES3"/>
      <sheetName val="FILIALE_3"/>
      <sheetName val="detail_apbudget3"/>
      <sheetName val="total_budget3"/>
      <sheetName val="Marge_OP_REEL_20043"/>
      <sheetName val="Italie_bdg_20053"/>
      <sheetName val="Italie_bdg_2005_AO3"/>
      <sheetName val="BDG_MENS_3"/>
      <sheetName val="BDG_MENS_A03"/>
      <sheetName val="ITA_VP3"/>
      <sheetName val="ITA_VU3"/>
      <sheetName val="ITA_VTE3"/>
      <sheetName val="ITA_VCAR3"/>
      <sheetName val="CP_03_A03"/>
      <sheetName val="Mise_à_jour_3"/>
      <sheetName val="MANUELCAMPAYS_3"/>
      <sheetName val="PERIMETRE_A763"/>
      <sheetName val="Variables_Common3"/>
      <sheetName val="DEXF1_CYC3"/>
      <sheetName val="Kit_PRF_X8-93"/>
      <sheetName val="TAB_MOD3"/>
      <sheetName val="TAB_REG3"/>
      <sheetName val="Page_4&amp;53"/>
      <sheetName val="Value_Analysis_-_Sheet_13"/>
      <sheetName val="CAMPAIGN_AVERAGE_F3"/>
      <sheetName val="ECOM_Mensuel3"/>
      <sheetName val="ECOM_Periodique3"/>
      <sheetName val="Volume__20053"/>
      <sheetName val="ECOM_Men_FAM_AP3"/>
      <sheetName val="SMON_Per_FAM_AP3"/>
      <sheetName val="SMON_Per_FAM_AC3"/>
      <sheetName val="SMON_Men_FAM_AP3"/>
      <sheetName val="SMON_Men_FAM_AC3"/>
      <sheetName val="fondo_promedio3"/>
      <sheetName val="GRÁFICO_DE_FONDO_POR_AFILIADO3"/>
      <sheetName val="Chiffrage(total_feuil_)3"/>
      <sheetName val="Chiffrage_(307)3"/>
      <sheetName val="Chiffrage_(406)3"/>
      <sheetName val="Selling_Summary3"/>
      <sheetName val="GHIA_berl3"/>
      <sheetName val="Données_CHARxxx_wk1_A13"/>
      <sheetName val="Marge_Com_Invoices3"/>
      <sheetName val="P&amp;L_Cumul3"/>
      <sheetName val="P&amp;L_M3"/>
      <sheetName val="Config_liste_deroulante3"/>
      <sheetName val="BILAN_MECA_23"/>
      <sheetName val="PVR_FRA3"/>
      <sheetName val="page1_(f)3"/>
      <sheetName val="list_param3"/>
      <sheetName val="Prév_Tréso3"/>
      <sheetName val="Gamme_Enveloppe_€43"/>
      <sheetName val="_lozery_x005f_x001c_Ò_x005f_x0012__x005f_x0000_E3"/>
      <sheetName val="_lozery_x005f_x001c_Ò_x005f_x0012_?E3"/>
      <sheetName val="_lozery_x005f_x001c_Ò_x005f_x0012_3"/>
      <sheetName val="_lozery_x005f_x001c_Ò_x005f_x0012__E3"/>
      <sheetName val="_lozery_x005f_x005f_x005f_x001c_Ò_x005f_x005f_x03"/>
      <sheetName val="_lozery_x005f_x005f_x005f_x005f_x005f_x005f_x0013"/>
      <sheetName val="_lozery_x005f_x005f_x005f_x005f_x005f_x005f_x0053"/>
      <sheetName val="Panier_Avant3"/>
      <sheetName val="Panier_Arriere3"/>
      <sheetName val="Panier_Latéral3"/>
      <sheetName val="Simu_VF_LLD3"/>
      <sheetName val="F_1_23"/>
      <sheetName val="volumes_PF3"/>
      <sheetName val="A94_Socle3"/>
      <sheetName val="1_73"/>
      <sheetName val="1-List_of_Packaging3"/>
      <sheetName val="2-Transfert_VS_3"/>
      <sheetName val="Convoi_FNR_PACKMAN3"/>
      <sheetName val="PVR_PRF2"/>
      <sheetName val="_lozeryserru5"/>
      <sheetName val="trav-trans_5"/>
      <sheetName val="PREVSVO_(2)5"/>
      <sheetName val="STOCK_5"/>
      <sheetName val="feuille_garde5"/>
      <sheetName val="_garde_5"/>
      <sheetName val="A_P_5"/>
      <sheetName val="A_P_+_AUTRES5"/>
      <sheetName val="A_P_mois5"/>
      <sheetName val="A_P_+_AUTRES_mois5"/>
      <sheetName val="C_P__C_P__A_P_5"/>
      <sheetName val="C_P__C_P_5"/>
      <sheetName val="budget_C_P__A_P__5"/>
      <sheetName val="BUDGET__C_P_5"/>
      <sheetName val="REEL-PREV_5"/>
      <sheetName val="REEL+PREV_RATIO5"/>
      <sheetName val="RATIO_R-CP-RES-_AP5"/>
      <sheetName val="DETAIL_AP5"/>
      <sheetName val="REPR_VVP5"/>
      <sheetName val="A_MARQUES5"/>
      <sheetName val="FILIALE_5"/>
      <sheetName val="detail_apbudget5"/>
      <sheetName val="total_budget5"/>
      <sheetName val="Marge_OP_REEL_20045"/>
      <sheetName val="Italie_bdg_20055"/>
      <sheetName val="Italie_bdg_2005_AO5"/>
      <sheetName val="BDG_MENS_5"/>
      <sheetName val="BDG_MENS_A05"/>
      <sheetName val="ITA_VP5"/>
      <sheetName val="ITA_VU5"/>
      <sheetName val="ITA_VTE5"/>
      <sheetName val="ITA_VCAR5"/>
      <sheetName val="CP_03_A05"/>
      <sheetName val="Mise_à_jour_5"/>
      <sheetName val="MANUELCAMPAYS_5"/>
      <sheetName val="PERIMETRE_A765"/>
      <sheetName val="Variables_Common5"/>
      <sheetName val="TAB_MOD5"/>
      <sheetName val="TAB_REG5"/>
      <sheetName val="Kit_PRF_X8-95"/>
      <sheetName val="DEXF1_CYC5"/>
      <sheetName val="Page_4&amp;55"/>
      <sheetName val="Value_Analysis_-_Sheet_15"/>
      <sheetName val="CAMPAIGN_AVERAGE_F5"/>
      <sheetName val="ECOM_Periodique5"/>
      <sheetName val="ECOM_Mensuel5"/>
      <sheetName val="Volume__20055"/>
      <sheetName val="ECOM_Men_FAM_AP5"/>
      <sheetName val="SMON_Per_FAM_AP5"/>
      <sheetName val="SMON_Per_FAM_AC5"/>
      <sheetName val="SMON_Men_FAM_AP5"/>
      <sheetName val="SMON_Men_FAM_AC5"/>
      <sheetName val="fondo_promedio5"/>
      <sheetName val="GRÁFICO_DE_FONDO_POR_AFILIADO5"/>
      <sheetName val="GHIA_berl5"/>
      <sheetName val="Selling_Summary5"/>
      <sheetName val="Chiffrage(total_feuil_)5"/>
      <sheetName val="Chiffrage_(307)5"/>
      <sheetName val="Chiffrage_(406)5"/>
      <sheetName val="Données_CHARxxx_wk1_A15"/>
      <sheetName val="Marge_Com_Invoices5"/>
      <sheetName val="P&amp;L_Cumul5"/>
      <sheetName val="P&amp;L_M5"/>
      <sheetName val="Config_liste_deroulante5"/>
      <sheetName val="BILAN_MECA_25"/>
      <sheetName val="PVR_FRA5"/>
      <sheetName val="page1_(f)5"/>
      <sheetName val="list_param5"/>
      <sheetName val="Prév_Tréso5"/>
      <sheetName val="Gamme_Enveloppe_€45"/>
      <sheetName val="_lozery_x005f_x001c_Ò_x005f_x0012__x005f_x0000_E5"/>
      <sheetName val="_lozery_x005f_x001c_Ò_x005f_x0012_?E5"/>
      <sheetName val="_lozery_x005f_x001c_Ò_x005f_x0012_5"/>
      <sheetName val="_lozery_x005f_x001c_Ò_x005f_x0012__E5"/>
      <sheetName val="_lozery_x005f_x005f_x005f_x001c_Ò_x005f_x005f_x05"/>
      <sheetName val="_lozery_x005f_x005f_x005f_x005f_x005f_x005f_x0015"/>
      <sheetName val="_lozery_x005f_x005f_x005f_x005f_x005f_x005f_x0055"/>
      <sheetName val="Panier_Avant5"/>
      <sheetName val="Panier_Arriere5"/>
      <sheetName val="Panier_Latéral5"/>
      <sheetName val="Simu_VF_LLD5"/>
      <sheetName val="F_1_25"/>
      <sheetName val="volumes_PF5"/>
      <sheetName val="1_75"/>
      <sheetName val="A94_Socle5"/>
      <sheetName val="1-List_of_Packaging5"/>
      <sheetName val="2-Transfert_VS_5"/>
      <sheetName val="Convoi_FNR_PACKMAN5"/>
      <sheetName val="PVR_PRF4"/>
      <sheetName val="B587_SUISSE"/>
      <sheetName val="MO"/>
      <sheetName val=" lozery_x005f_x001c_Ò_x00"/>
      <sheetName val=" lozery_x005f_x005f_x001c"/>
      <sheetName val=" lozery_x005f_x005f_x005f"/>
      <sheetName val="SM-SA(180K)"/>
      <sheetName val="_lozeryserru6"/>
      <sheetName val="trav-trans_6"/>
      <sheetName val="PREVSVO_(2)6"/>
      <sheetName val="STOCK_6"/>
      <sheetName val="feuille_garde6"/>
      <sheetName val="_garde_6"/>
      <sheetName val="A_P_6"/>
      <sheetName val="A_P_+_AUTRES6"/>
      <sheetName val="A_P_mois6"/>
      <sheetName val="A_P_+_AUTRES_mois6"/>
      <sheetName val="C_P__C_P__A_P_6"/>
      <sheetName val="C_P__C_P_6"/>
      <sheetName val="budget_C_P__A_P__6"/>
      <sheetName val="BUDGET__C_P_6"/>
      <sheetName val="REEL-PREV_6"/>
      <sheetName val="REEL+PREV_RATIO6"/>
      <sheetName val="RATIO_R-CP-RES-_AP6"/>
      <sheetName val="DETAIL_AP6"/>
      <sheetName val="REPR_VVP6"/>
      <sheetName val="A_MARQUES6"/>
      <sheetName val="FILIALE_6"/>
      <sheetName val="detail_apbudget6"/>
      <sheetName val="total_budget6"/>
      <sheetName val="Marge_OP_REEL_20046"/>
      <sheetName val="Italie_bdg_20056"/>
      <sheetName val="Italie_bdg_2005_AO6"/>
      <sheetName val="BDG_MENS_6"/>
      <sheetName val="BDG_MENS_A06"/>
      <sheetName val="ITA_VP6"/>
      <sheetName val="ITA_VU6"/>
      <sheetName val="ITA_VTE6"/>
      <sheetName val="ITA_VCAR6"/>
      <sheetName val="CP_03_A06"/>
      <sheetName val="PERIMETRE_A766"/>
      <sheetName val="Mise_à_jour_6"/>
      <sheetName val="MANUELCAMPAYS_6"/>
      <sheetName val="Variables_Common6"/>
      <sheetName val="TAB_MOD6"/>
      <sheetName val="TAB_REG6"/>
      <sheetName val="DEXF1_CYC6"/>
      <sheetName val="Kit_PRF_X8-96"/>
      <sheetName val="Page_4&amp;56"/>
      <sheetName val="CAMPAIGN_AVERAGE_F6"/>
      <sheetName val="Value_Analysis_-_Sheet_16"/>
      <sheetName val="ECOM_Periodique6"/>
      <sheetName val="ECOM_Mensuel6"/>
      <sheetName val="Volume__20056"/>
      <sheetName val="ECOM_Men_FAM_AP6"/>
      <sheetName val="SMON_Per_FAM_AP6"/>
      <sheetName val="SMON_Per_FAM_AC6"/>
      <sheetName val="SMON_Men_FAM_AP6"/>
      <sheetName val="SMON_Men_FAM_AC6"/>
      <sheetName val="fondo_promedio6"/>
      <sheetName val="GRÁFICO_DE_FONDO_POR_AFILIADO6"/>
      <sheetName val="Selling_Summary6"/>
      <sheetName val="Chiffrage(total_feuil_)6"/>
      <sheetName val="Chiffrage_(307)6"/>
      <sheetName val="Chiffrage_(406)6"/>
      <sheetName val="Données_CHARxxx_wk1_A16"/>
      <sheetName val="GHIA_berl6"/>
      <sheetName val="Marge_Com_Invoices6"/>
      <sheetName val="P&amp;L_Cumul6"/>
      <sheetName val="P&amp;L_M6"/>
      <sheetName val="Config_liste_deroulante6"/>
      <sheetName val="BILAN_MECA_26"/>
      <sheetName val="PVR_FRA6"/>
      <sheetName val="page1_(f)6"/>
      <sheetName val="list_param6"/>
      <sheetName val="Prév_Tréso6"/>
      <sheetName val="Gamme_Enveloppe_€46"/>
      <sheetName val="_lozery_x005f_x001c_Ò_x005f_x0012__x005f_x0000_E6"/>
      <sheetName val="_lozery_x005f_x001c_Ò_x005f_x0012_?E6"/>
      <sheetName val="_lozery_x005f_x001c_Ò_x005f_x0012_6"/>
      <sheetName val="_lozery_x005f_x001c_Ò_x005f_x0012__E6"/>
      <sheetName val="_lozery_x005f_x005f_x005f_x001c_Ò_x005f_x005f_x06"/>
      <sheetName val="_lozery_x005f_x005f_x005f_x005f_x005f_x005f_x0016"/>
      <sheetName val="_lozery_x005f_x005f_x005f_x005f_x005f_x005f_x0056"/>
      <sheetName val="Panier_Avant6"/>
      <sheetName val="Panier_Arriere6"/>
      <sheetName val="Panier_Latéral6"/>
      <sheetName val="Simu_VF_LLD6"/>
      <sheetName val="F_1_26"/>
      <sheetName val="volumes_PF6"/>
      <sheetName val="1_76"/>
      <sheetName val="A94_Socle6"/>
      <sheetName val="1-List_of_Packaging6"/>
      <sheetName val="2-Transfert_VS_6"/>
      <sheetName val="Convoi_FNR_PACKMAN6"/>
      <sheetName val="PVR_PRF5"/>
      <sheetName val="_lozeryserru7"/>
      <sheetName val="trav-trans_7"/>
      <sheetName val="PREVSVO_(2)7"/>
      <sheetName val="STOCK_7"/>
      <sheetName val="feuille_garde7"/>
      <sheetName val="_garde_7"/>
      <sheetName val="A_P_7"/>
      <sheetName val="A_P_+_AUTRES7"/>
      <sheetName val="A_P_mois7"/>
      <sheetName val="A_P_+_AUTRES_mois7"/>
      <sheetName val="C_P__C_P__A_P_7"/>
      <sheetName val="C_P__C_P_7"/>
      <sheetName val="budget_C_P__A_P__7"/>
      <sheetName val="BUDGET__C_P_7"/>
      <sheetName val="REEL-PREV_7"/>
      <sheetName val="REEL+PREV_RATIO7"/>
      <sheetName val="RATIO_R-CP-RES-_AP7"/>
      <sheetName val="DETAIL_AP7"/>
      <sheetName val="REPR_VVP7"/>
      <sheetName val="A_MARQUES7"/>
      <sheetName val="FILIALE_7"/>
      <sheetName val="detail_apbudget7"/>
      <sheetName val="total_budget7"/>
      <sheetName val="Marge_OP_REEL_20047"/>
      <sheetName val="Italie_bdg_20057"/>
      <sheetName val="Italie_bdg_2005_AO7"/>
      <sheetName val="BDG_MENS_7"/>
      <sheetName val="BDG_MENS_A07"/>
      <sheetName val="ITA_VP7"/>
      <sheetName val="ITA_VU7"/>
      <sheetName val="ITA_VTE7"/>
      <sheetName val="ITA_VCAR7"/>
      <sheetName val="CP_03_A07"/>
      <sheetName val="PERIMETRE_A767"/>
      <sheetName val="Mise_à_jour_7"/>
      <sheetName val="MANUELCAMPAYS_7"/>
      <sheetName val="Variables_Common7"/>
      <sheetName val="TAB_MOD7"/>
      <sheetName val="TAB_REG7"/>
      <sheetName val="DEXF1_CYC7"/>
      <sheetName val="Kit_PRF_X8-97"/>
      <sheetName val="Page_4&amp;57"/>
      <sheetName val="CAMPAIGN_AVERAGE_F7"/>
      <sheetName val="Value_Analysis_-_Sheet_17"/>
      <sheetName val="ECOM_Periodique7"/>
      <sheetName val="ECOM_Mensuel7"/>
      <sheetName val="Volume__20057"/>
      <sheetName val="ECOM_Men_FAM_AP7"/>
      <sheetName val="SMON_Per_FAM_AP7"/>
      <sheetName val="SMON_Per_FAM_AC7"/>
      <sheetName val="SMON_Men_FAM_AP7"/>
      <sheetName val="SMON_Men_FAM_AC7"/>
      <sheetName val="fondo_promedio7"/>
      <sheetName val="GRÁFICO_DE_FONDO_POR_AFILIADO7"/>
      <sheetName val="Selling_Summary7"/>
      <sheetName val="Chiffrage(total_feuil_)7"/>
      <sheetName val="Chiffrage_(307)7"/>
      <sheetName val="Chiffrage_(406)7"/>
      <sheetName val="Données_CHARxxx_wk1_A17"/>
      <sheetName val="GHIA_berl7"/>
      <sheetName val="Marge_Com_Invoices7"/>
      <sheetName val="P&amp;L_Cumul7"/>
      <sheetName val="P&amp;L_M7"/>
      <sheetName val="Config_liste_deroulante7"/>
      <sheetName val="BILAN_MECA_27"/>
      <sheetName val="PVR_FRA7"/>
      <sheetName val="page1_(f)7"/>
      <sheetName val="list_param7"/>
      <sheetName val="Prév_Tréso7"/>
      <sheetName val="Gamme_Enveloppe_€47"/>
      <sheetName val="_lozery_x005f_x001c_Ò_x005f_x0012__x005f_x0000_E7"/>
      <sheetName val="_lozery_x005f_x001c_Ò_x005f_x0012_?E7"/>
      <sheetName val="_lozery_x005f_x001c_Ò_x005f_x0012_7"/>
      <sheetName val="_lozery_x005f_x001c_Ò_x005f_x0012__E7"/>
      <sheetName val="_lozery_x005f_x005f_x005f_x001c_Ò_x005f_x005f_x07"/>
      <sheetName val="_lozery_x005f_x005f_x005f_x005f_x005f_x005f_x0017"/>
      <sheetName val="_lozery_x005f_x005f_x005f_x005f_x005f_x005f_x0057"/>
      <sheetName val="Panier_Avant7"/>
      <sheetName val="Panier_Arriere7"/>
      <sheetName val="Panier_Latéral7"/>
      <sheetName val="Simu_VF_LLD7"/>
      <sheetName val="F_1_27"/>
      <sheetName val="volumes_PF7"/>
      <sheetName val="A94_Socle7"/>
      <sheetName val="1_77"/>
      <sheetName val="1-List_of_Packaging7"/>
      <sheetName val="2-Transfert_VS_7"/>
      <sheetName val="Convoi_FNR_PACKMAN7"/>
      <sheetName val="PVR_PRF6"/>
      <sheetName val="UK Proforma Price List - Cars"/>
      <sheetName val="Pays CE"/>
      <sheetName val="Zones DAIC"/>
      <sheetName val="_lozeryserru8"/>
      <sheetName val="trav-trans_8"/>
      <sheetName val="PREVSVO_(2)8"/>
      <sheetName val="STOCK_8"/>
      <sheetName val="feuille_garde8"/>
      <sheetName val="_garde_8"/>
      <sheetName val="A_P_8"/>
      <sheetName val="A_P_+_AUTRES8"/>
      <sheetName val="A_P_mois8"/>
      <sheetName val="A_P_+_AUTRES_mois8"/>
      <sheetName val="C_P__C_P__A_P_8"/>
      <sheetName val="C_P__C_P_8"/>
      <sheetName val="budget_C_P__A_P__8"/>
      <sheetName val="BUDGET__C_P_8"/>
      <sheetName val="REEL-PREV_8"/>
      <sheetName val="REEL+PREV_RATIO8"/>
      <sheetName val="RATIO_R-CP-RES-_AP8"/>
      <sheetName val="DETAIL_AP8"/>
      <sheetName val="REPR_VVP8"/>
      <sheetName val="A_MARQUES8"/>
      <sheetName val="FILIALE_8"/>
      <sheetName val="detail_apbudget8"/>
      <sheetName val="total_budget8"/>
      <sheetName val="Marge_OP_REEL_20048"/>
      <sheetName val="Italie_bdg_20058"/>
      <sheetName val="Italie_bdg_2005_AO8"/>
      <sheetName val="BDG_MENS_8"/>
      <sheetName val="BDG_MENS_A08"/>
      <sheetName val="ITA_VP8"/>
      <sheetName val="ITA_VU8"/>
      <sheetName val="ITA_VTE8"/>
      <sheetName val="ITA_VCAR8"/>
      <sheetName val="CP_03_A08"/>
      <sheetName val="PERIMETRE_A768"/>
      <sheetName val="Mise_à_jour_8"/>
      <sheetName val="MANUELCAMPAYS_8"/>
      <sheetName val="Variables_Common8"/>
      <sheetName val="TAB_MOD8"/>
      <sheetName val="TAB_REG8"/>
      <sheetName val="DEXF1_CYC8"/>
      <sheetName val="Kit_PRF_X8-98"/>
      <sheetName val="Page_4&amp;58"/>
      <sheetName val="CAMPAIGN_AVERAGE_F8"/>
      <sheetName val="Value_Analysis_-_Sheet_18"/>
      <sheetName val="ECOM_Periodique8"/>
      <sheetName val="ECOM_Mensuel8"/>
      <sheetName val="Volume__20058"/>
      <sheetName val="ECOM_Men_FAM_AP8"/>
      <sheetName val="SMON_Per_FAM_AP8"/>
      <sheetName val="SMON_Per_FAM_AC8"/>
      <sheetName val="SMON_Men_FAM_AP8"/>
      <sheetName val="SMON_Men_FAM_AC8"/>
      <sheetName val="fondo_promedio8"/>
      <sheetName val="GRÁFICO_DE_FONDO_POR_AFILIADO8"/>
      <sheetName val="Selling_Summary8"/>
      <sheetName val="Chiffrage(total_feuil_)8"/>
      <sheetName val="Chiffrage_(307)8"/>
      <sheetName val="Chiffrage_(406)8"/>
      <sheetName val="Données_CHARxxx_wk1_A18"/>
      <sheetName val="GHIA_berl8"/>
      <sheetName val="Marge_Com_Invoices8"/>
      <sheetName val="P&amp;L_Cumul8"/>
      <sheetName val="P&amp;L_M8"/>
      <sheetName val="Config_liste_deroulante8"/>
      <sheetName val="BILAN_MECA_28"/>
      <sheetName val="PVR_FRA8"/>
      <sheetName val="page1_(f)8"/>
      <sheetName val="list_param8"/>
      <sheetName val="Prév_Tréso8"/>
      <sheetName val="Gamme_Enveloppe_€48"/>
      <sheetName val="_lozery_x005f_x001c_Ò_x005f_x0012__x005f_x0000_E8"/>
      <sheetName val="_lozery_x005f_x001c_Ò_x005f_x0012_?E8"/>
      <sheetName val="_lozery_x005f_x001c_Ò_x005f_x0012_8"/>
      <sheetName val="_lozery_x005f_x001c_Ò_x005f_x0012__E8"/>
      <sheetName val="_lozery_x005f_x005f_x005f_x001c_Ò_x005f_x005f_x08"/>
      <sheetName val="_lozery_x005f_x005f_x005f_x005f_x005f_x005f_x0018"/>
      <sheetName val="_lozery_x005f_x005f_x005f_x005f_x005f_x005f_x0058"/>
      <sheetName val="Panier_Avant8"/>
      <sheetName val="Panier_Arriere8"/>
      <sheetName val="Panier_Latéral8"/>
      <sheetName val="Simu_VF_LLD8"/>
      <sheetName val="F_1_28"/>
      <sheetName val="volumes_PF8"/>
      <sheetName val="A94_Socle8"/>
      <sheetName val="1_78"/>
      <sheetName val="1-List_of_Packaging8"/>
      <sheetName val="2-Transfert_VS_8"/>
      <sheetName val="Convoi_FNR_PACKMAN8"/>
      <sheetName val="PVR_PRF7"/>
      <sheetName val="MHEV SW 48V Waterfall Graph"/>
      <sheetName val="Xsara"/>
      <sheetName val="DEXC + FRANCE - BRK"/>
      <sheetName val="avantage client 20 Hdi"/>
      <sheetName val="XX98CALB"/>
      <sheetName val="Value Summary Citroë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 refreshError="1"/>
      <sheetData sheetId="953" refreshError="1"/>
      <sheetData sheetId="954" refreshError="1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/>
      <sheetData sheetId="1045" refreshError="1"/>
      <sheetData sheetId="1046" refreshError="1"/>
      <sheetData sheetId="1047" refreshError="1"/>
      <sheetData sheetId="1048" refreshError="1"/>
      <sheetData sheetId="104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opCache"/>
      <sheetName val="BneWorkBookProperties"/>
      <sheetName val="BneLog"/>
      <sheetName val="Sheet1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age de garde"/>
      <sheetName val="Pièces DSEE pour X81C"/>
      <sheetName val="TCD_Pièce_DSEE_X81C"/>
      <sheetName val="KPI_Type pièces"/>
      <sheetName val="KPI_Définition pièces"/>
      <sheetName val="Listes modules"/>
      <sheetName val="Liste pièces DSEE"/>
      <sheetName val="Définition IL"/>
      <sheetName val="Process RFQ DPCA"/>
      <sheetName val="Feuil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docinfogroupe.inetpsa.com/ead/doc/ref.00987_15_00582/v.vc/fiche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docinfogroupe.inetpsa.com/ead/doc/ref.00987_19_00164/v.vc/fich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5B1C7-8986-4BC4-8DD3-3E18623C7F56}">
  <dimension ref="B3:E14"/>
  <sheetViews>
    <sheetView showGridLines="0" workbookViewId="0">
      <pane ySplit="3" topLeftCell="A6" activePane="bottomLeft" state="frozen"/>
      <selection pane="bottomLeft" activeCell="B11" sqref="B11"/>
    </sheetView>
  </sheetViews>
  <sheetFormatPr defaultColWidth="11.42578125" defaultRowHeight="14.45"/>
  <cols>
    <col min="1" max="1" width="5.7109375" customWidth="1"/>
    <col min="2" max="2" width="8.42578125" customWidth="1"/>
    <col min="3" max="3" width="16" customWidth="1"/>
    <col min="4" max="4" width="54.5703125" customWidth="1"/>
    <col min="5" max="5" width="30.7109375" customWidth="1"/>
  </cols>
  <sheetData>
    <row r="3" spans="2:5">
      <c r="B3" s="513"/>
      <c r="C3" s="514" t="s">
        <v>0</v>
      </c>
      <c r="D3" s="514" t="s">
        <v>1</v>
      </c>
      <c r="E3" s="514" t="s">
        <v>2</v>
      </c>
    </row>
    <row r="4" spans="2:5" ht="24.4" customHeight="1">
      <c r="B4" s="502" t="s">
        <v>3</v>
      </c>
      <c r="C4" s="515">
        <v>44201</v>
      </c>
      <c r="D4" s="502" t="s">
        <v>4</v>
      </c>
      <c r="E4" s="502" t="s">
        <v>5</v>
      </c>
    </row>
    <row r="5" spans="2:5" ht="97.5" customHeight="1">
      <c r="B5" s="502" t="s">
        <v>6</v>
      </c>
      <c r="C5" s="515">
        <v>44785</v>
      </c>
      <c r="D5" s="516" t="s">
        <v>7</v>
      </c>
      <c r="E5" s="502" t="s">
        <v>8</v>
      </c>
    </row>
    <row r="6" spans="2:5">
      <c r="B6" s="502" t="s">
        <v>9</v>
      </c>
      <c r="C6" s="515">
        <v>44854</v>
      </c>
      <c r="D6" s="502" t="s">
        <v>10</v>
      </c>
      <c r="E6" s="502" t="s">
        <v>8</v>
      </c>
    </row>
    <row r="7" spans="2:5">
      <c r="B7" s="502" t="s">
        <v>11</v>
      </c>
      <c r="C7" s="515">
        <v>44854</v>
      </c>
      <c r="D7" s="502" t="s">
        <v>10</v>
      </c>
      <c r="E7" s="502" t="s">
        <v>8</v>
      </c>
    </row>
    <row r="8" spans="2:5" ht="72.400000000000006" customHeight="1">
      <c r="B8" s="502" t="s">
        <v>12</v>
      </c>
      <c r="C8" s="515">
        <v>44880</v>
      </c>
      <c r="D8" s="516" t="s">
        <v>13</v>
      </c>
      <c r="E8" s="502" t="s">
        <v>8</v>
      </c>
    </row>
    <row r="9" spans="2:5" ht="26.65" customHeight="1">
      <c r="B9" s="502" t="s">
        <v>14</v>
      </c>
      <c r="C9" s="515">
        <v>44886</v>
      </c>
      <c r="D9" s="502" t="s">
        <v>15</v>
      </c>
      <c r="E9" s="502" t="s">
        <v>8</v>
      </c>
    </row>
    <row r="10" spans="2:5" ht="100.9">
      <c r="B10" s="502" t="s">
        <v>16</v>
      </c>
      <c r="C10" s="515">
        <v>46106</v>
      </c>
      <c r="D10" s="516" t="s">
        <v>17</v>
      </c>
      <c r="E10" s="502" t="s">
        <v>18</v>
      </c>
    </row>
    <row r="11" spans="2:5">
      <c r="B11" s="502"/>
      <c r="C11" s="1"/>
      <c r="D11" s="502"/>
      <c r="E11" s="502"/>
    </row>
    <row r="12" spans="2:5">
      <c r="B12" s="502"/>
      <c r="C12" s="1"/>
      <c r="D12" s="502"/>
      <c r="E12" s="502"/>
    </row>
    <row r="13" spans="2:5">
      <c r="B13" s="502"/>
      <c r="C13" s="1"/>
      <c r="D13" s="502"/>
      <c r="E13" s="502"/>
    </row>
    <row r="14" spans="2:5">
      <c r="B14" s="502"/>
      <c r="C14" s="1"/>
      <c r="D14" s="502"/>
      <c r="E14" s="502"/>
    </row>
  </sheetData>
  <phoneticPr fontId="6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5">
    <tabColor rgb="FFFFFF99"/>
    <pageSetUpPr fitToPage="1"/>
  </sheetPr>
  <dimension ref="B1:AB182"/>
  <sheetViews>
    <sheetView showGridLines="0" tabSelected="1" zoomScale="110" zoomScaleNormal="80" workbookViewId="0">
      <pane xSplit="3" ySplit="6" topLeftCell="D58" activePane="bottomRight" state="frozen"/>
      <selection pane="bottomRight" activeCell="Q79" sqref="Q79"/>
      <selection pane="bottomLeft" activeCell="A7" sqref="A7"/>
      <selection pane="topRight" activeCell="C1" sqref="C1"/>
    </sheetView>
  </sheetViews>
  <sheetFormatPr defaultColWidth="11.5703125" defaultRowHeight="13.15" outlineLevelRow="1" outlineLevelCol="1"/>
  <cols>
    <col min="1" max="1" width="2.140625" style="60" customWidth="1"/>
    <col min="2" max="2" width="5.7109375" style="60" customWidth="1"/>
    <col min="3" max="3" width="62.7109375" style="60" customWidth="1"/>
    <col min="4" max="4" width="4.5703125" style="60" customWidth="1"/>
    <col min="5" max="5" width="5.28515625" style="61" customWidth="1"/>
    <col min="6" max="6" width="5" style="60" customWidth="1"/>
    <col min="7" max="7" width="12.140625" style="60" customWidth="1"/>
    <col min="8" max="10" width="12.140625" style="61" customWidth="1"/>
    <col min="11" max="11" width="7.28515625" style="66" customWidth="1"/>
    <col min="12" max="12" width="60.7109375" style="61" hidden="1" customWidth="1" outlineLevel="1"/>
    <col min="13" max="13" width="17.7109375" style="61" customWidth="1" collapsed="1"/>
    <col min="14" max="14" width="10.7109375" style="61" customWidth="1"/>
    <col min="15" max="15" width="20.7109375" style="61" customWidth="1"/>
    <col min="16" max="16" width="4.28515625" style="60" customWidth="1"/>
    <col min="17" max="17" width="32.42578125" style="60" customWidth="1"/>
    <col min="18" max="18" width="32.7109375" style="60" customWidth="1"/>
    <col min="19" max="19" width="22.7109375" style="60" customWidth="1"/>
    <col min="20" max="20" width="11.5703125" style="60" customWidth="1"/>
    <col min="21" max="16384" width="11.5703125" style="60"/>
  </cols>
  <sheetData>
    <row r="1" spans="2:16" ht="6.4" customHeight="1"/>
    <row r="2" spans="2:16" ht="17.45">
      <c r="B2" s="375" t="s">
        <v>19</v>
      </c>
      <c r="C2" s="376"/>
      <c r="D2" s="377"/>
      <c r="E2" s="378"/>
      <c r="F2" s="377"/>
      <c r="G2" s="377"/>
      <c r="H2" s="378"/>
      <c r="I2" s="378"/>
      <c r="J2" s="378"/>
      <c r="K2" s="379"/>
      <c r="L2" s="378"/>
      <c r="M2" s="378"/>
      <c r="N2" s="378"/>
      <c r="O2" s="378"/>
      <c r="P2" s="380"/>
    </row>
    <row r="3" spans="2:16" ht="16.149999999999999" customHeight="1">
      <c r="B3" s="381" t="s">
        <v>20</v>
      </c>
      <c r="C3" s="382"/>
      <c r="D3" s="383"/>
      <c r="E3" s="384"/>
      <c r="F3" s="383"/>
      <c r="G3" s="383"/>
      <c r="H3" s="384"/>
      <c r="I3" s="384"/>
      <c r="J3" s="384"/>
      <c r="K3" s="382"/>
      <c r="L3" s="384"/>
      <c r="M3" s="384"/>
      <c r="N3" s="384"/>
      <c r="O3" s="384"/>
      <c r="P3" s="385"/>
    </row>
    <row r="4" spans="2:16" ht="16.149999999999999" customHeight="1">
      <c r="B4" s="386" t="s">
        <v>21</v>
      </c>
      <c r="C4" s="386"/>
      <c r="D4" s="386"/>
      <c r="E4" s="71"/>
      <c r="F4" s="386"/>
      <c r="G4" s="386"/>
      <c r="H4" s="71"/>
      <c r="I4" s="71"/>
      <c r="J4" s="71"/>
      <c r="K4" s="387"/>
      <c r="L4" s="71"/>
      <c r="M4" s="71"/>
      <c r="N4" s="71"/>
      <c r="O4" s="71"/>
      <c r="P4" s="388"/>
    </row>
    <row r="5" spans="2:16" ht="16.149999999999999" customHeight="1">
      <c r="B5" s="389" t="s">
        <v>22</v>
      </c>
      <c r="C5" s="390"/>
      <c r="D5" s="390"/>
      <c r="E5" s="391"/>
      <c r="F5" s="390"/>
      <c r="G5" s="390"/>
      <c r="H5" s="391"/>
      <c r="I5" s="391"/>
      <c r="J5" s="391"/>
      <c r="K5" s="392"/>
      <c r="L5" s="391"/>
      <c r="M5" s="391"/>
      <c r="N5" s="391"/>
      <c r="O5" s="391"/>
      <c r="P5" s="393"/>
    </row>
    <row r="6" spans="2:16">
      <c r="B6" s="394"/>
      <c r="M6" s="524" t="s">
        <v>23</v>
      </c>
      <c r="N6" s="524" t="s">
        <v>24</v>
      </c>
      <c r="O6" s="524" t="s">
        <v>25</v>
      </c>
      <c r="P6" s="395"/>
    </row>
    <row r="7" spans="2:16" ht="13.15" customHeight="1">
      <c r="B7" s="396" t="s">
        <v>26</v>
      </c>
      <c r="C7" s="397"/>
      <c r="D7" s="398"/>
      <c r="E7" s="399"/>
      <c r="F7" s="398"/>
      <c r="G7" s="399"/>
      <c r="H7" s="400"/>
      <c r="I7" s="400"/>
      <c r="J7" s="400"/>
      <c r="K7" s="401"/>
      <c r="L7" s="398"/>
      <c r="M7" s="399"/>
      <c r="N7" s="525"/>
      <c r="O7" s="525"/>
      <c r="P7" s="395"/>
    </row>
    <row r="8" spans="2:16" ht="27.4" customHeight="1">
      <c r="B8" s="402" t="s">
        <v>27</v>
      </c>
      <c r="C8" s="403"/>
      <c r="H8" s="362" t="s">
        <v>28</v>
      </c>
      <c r="I8" s="531" t="s">
        <v>29</v>
      </c>
      <c r="J8" s="363" t="s">
        <v>30</v>
      </c>
      <c r="L8" s="60"/>
      <c r="P8" s="395"/>
    </row>
    <row r="9" spans="2:16" ht="5.65" customHeight="1">
      <c r="B9" s="394"/>
      <c r="H9" s="60"/>
      <c r="I9" s="60"/>
      <c r="J9" s="60"/>
      <c r="L9" s="60"/>
      <c r="P9" s="395"/>
    </row>
    <row r="10" spans="2:16" ht="13.15" customHeight="1">
      <c r="B10" s="396" t="s">
        <v>31</v>
      </c>
      <c r="C10" s="397"/>
      <c r="D10" s="398"/>
      <c r="E10" s="399"/>
      <c r="F10" s="398"/>
      <c r="G10" s="399"/>
      <c r="H10" s="400" t="s">
        <v>32</v>
      </c>
      <c r="I10" s="400" t="s">
        <v>33</v>
      </c>
      <c r="J10" s="400" t="s">
        <v>34</v>
      </c>
      <c r="K10" s="401"/>
      <c r="L10" s="398"/>
      <c r="M10" s="399"/>
      <c r="N10" s="399"/>
      <c r="O10" s="399"/>
      <c r="P10" s="395"/>
    </row>
    <row r="11" spans="2:16" ht="13.15" customHeight="1">
      <c r="B11" s="404"/>
      <c r="C11" s="405" t="s">
        <v>35</v>
      </c>
      <c r="G11" s="364">
        <v>1.3159445471349356</v>
      </c>
      <c r="H11" s="391"/>
      <c r="I11" s="391"/>
      <c r="J11" s="391"/>
      <c r="P11" s="395"/>
    </row>
    <row r="12" spans="2:16" ht="13.15" customHeight="1">
      <c r="B12" s="404"/>
      <c r="C12" s="405" t="s">
        <v>36</v>
      </c>
      <c r="G12" s="364">
        <v>54.688055452865065</v>
      </c>
      <c r="H12" s="391"/>
      <c r="I12" s="391"/>
      <c r="J12" s="391"/>
      <c r="P12" s="395"/>
    </row>
    <row r="13" spans="2:16" ht="13.15" customHeight="1">
      <c r="B13" s="404"/>
      <c r="C13" s="406" t="s">
        <v>37</v>
      </c>
      <c r="G13" s="407">
        <f>G11+G12</f>
        <v>56.003999999999998</v>
      </c>
      <c r="H13" s="408">
        <f>G12/G13*H33+H61</f>
        <v>2535.4670451318439</v>
      </c>
      <c r="I13" s="365">
        <v>0</v>
      </c>
      <c r="J13" s="365">
        <v>250</v>
      </c>
      <c r="M13" s="367"/>
      <c r="N13" s="367"/>
      <c r="O13" s="367"/>
      <c r="P13" s="395"/>
    </row>
    <row r="14" spans="2:16" ht="13.15" customHeight="1">
      <c r="B14" s="404"/>
      <c r="C14" s="406" t="s">
        <v>38</v>
      </c>
      <c r="G14" s="365">
        <v>5</v>
      </c>
      <c r="H14" s="391"/>
      <c r="I14" s="391"/>
      <c r="J14" s="391"/>
      <c r="P14" s="395"/>
    </row>
    <row r="15" spans="2:16" ht="13.15" customHeight="1">
      <c r="B15" s="404"/>
      <c r="C15" s="406" t="s">
        <v>39</v>
      </c>
      <c r="G15" s="409">
        <v>75</v>
      </c>
      <c r="H15" s="392"/>
      <c r="I15" s="391"/>
      <c r="J15" s="391"/>
      <c r="P15" s="395"/>
    </row>
    <row r="16" spans="2:16" hidden="1" outlineLevel="1">
      <c r="B16" s="394"/>
      <c r="G16" s="61" t="s">
        <v>40</v>
      </c>
      <c r="H16" s="61" t="s">
        <v>41</v>
      </c>
      <c r="I16" s="61" t="s">
        <v>42</v>
      </c>
      <c r="J16" s="61" t="s">
        <v>43</v>
      </c>
      <c r="P16" s="395"/>
    </row>
    <row r="17" spans="2:19" hidden="1" outlineLevel="1">
      <c r="B17" s="394"/>
      <c r="C17" s="410" t="s">
        <v>44</v>
      </c>
      <c r="G17" s="411">
        <f>(IF('INPUT1 - Veh Geometry'!G14=0,0,IF('INPUT1 - Veh Geometry'!G14=1,1,IF('INPUT1 - Veh Geometry'!G14=2,2,2))))*'INPUT1 - Veh Geometry'!G15</f>
        <v>150</v>
      </c>
      <c r="H17" s="412">
        <f>H42</f>
        <v>1334</v>
      </c>
      <c r="I17" s="411">
        <f>G17-J17</f>
        <v>71.789772727272734</v>
      </c>
      <c r="J17" s="411">
        <f>G17*(H17-$H$61)/$H$33</f>
        <v>78.210227272727266</v>
      </c>
      <c r="P17" s="395"/>
    </row>
    <row r="18" spans="2:19" hidden="1" outlineLevel="1">
      <c r="B18" s="394"/>
      <c r="C18" s="410" t="s">
        <v>45</v>
      </c>
      <c r="G18" s="411">
        <f>(IF(OR('INPUT1 - Veh Geometry'!G14=0,'INPUT1 - Veh Geometry'!G14=1,'INPUT1 - Veh Geometry'!G14=2),0,IF('INPUT1 - Veh Geometry'!G14=3,1,IF('INPUT1 - Veh Geometry'!G14=4,2,IF('INPUT1 - Veh Geometry'!G14=5,3,3)))))*'INPUT1 - Veh Geometry'!G15</f>
        <v>225</v>
      </c>
      <c r="H18" s="412">
        <f>H49</f>
        <v>2130</v>
      </c>
      <c r="I18" s="411">
        <f>G18-J18</f>
        <v>39.84375</v>
      </c>
      <c r="J18" s="411">
        <f>G18*(H18-$H$61)/$H$33</f>
        <v>185.15625</v>
      </c>
      <c r="P18" s="395"/>
    </row>
    <row r="19" spans="2:19" hidden="1" outlineLevel="1">
      <c r="B19" s="394"/>
      <c r="C19" s="410" t="s">
        <v>46</v>
      </c>
      <c r="G19" s="411">
        <f>(IF(AND('INPUT1 - Veh Geometry'!G14&gt;=0,'INPUT1 - Veh Geometry'!G14&lt;=5),0,IF('INPUT1 - Veh Geometry'!G14=6,1,IF('INPUT1 - Veh Geometry'!G14=7,2,2))))*'INPUT1 - Veh Geometry'!G15</f>
        <v>0</v>
      </c>
      <c r="H19" s="412">
        <f>H52</f>
        <v>0</v>
      </c>
      <c r="I19" s="411">
        <f>G19-J19</f>
        <v>0</v>
      </c>
      <c r="J19" s="411">
        <f>G19*(H19-$H$61)/$H$33</f>
        <v>0</v>
      </c>
      <c r="P19" s="395"/>
    </row>
    <row r="20" spans="2:19" ht="13.15" hidden="1" customHeight="1" outlineLevel="1">
      <c r="B20" s="394"/>
      <c r="C20" s="410" t="s">
        <v>47</v>
      </c>
      <c r="H20" s="60"/>
      <c r="I20" s="413">
        <f>SUM(I17:I19)</f>
        <v>111.63352272727273</v>
      </c>
      <c r="J20" s="413">
        <f>SUM(J17:J19)</f>
        <v>263.36647727272725</v>
      </c>
      <c r="L20" s="60"/>
      <c r="P20" s="395"/>
    </row>
    <row r="21" spans="2:19" ht="13.15" customHeight="1" collapsed="1">
      <c r="B21" s="404"/>
      <c r="C21" s="406" t="s">
        <v>48</v>
      </c>
      <c r="G21" s="364">
        <v>40</v>
      </c>
      <c r="H21" s="392"/>
      <c r="I21" s="392"/>
      <c r="J21" s="392"/>
      <c r="P21" s="395"/>
    </row>
    <row r="22" spans="2:19" hidden="1" outlineLevel="1">
      <c r="B22" s="394"/>
      <c r="G22" s="61" t="s">
        <v>40</v>
      </c>
      <c r="H22" s="61" t="s">
        <v>41</v>
      </c>
      <c r="I22" s="61" t="s">
        <v>42</v>
      </c>
      <c r="J22" s="61" t="s">
        <v>43</v>
      </c>
      <c r="P22" s="395"/>
    </row>
    <row r="23" spans="2:19" hidden="1" outlineLevel="1">
      <c r="B23" s="394"/>
      <c r="C23" s="410" t="s">
        <v>49</v>
      </c>
      <c r="G23" s="411">
        <f>G21</f>
        <v>40</v>
      </c>
      <c r="H23" s="412">
        <f>H57</f>
        <v>2750</v>
      </c>
      <c r="I23" s="413">
        <f>G23-J23</f>
        <v>-2.3106060606060623</v>
      </c>
      <c r="J23" s="413">
        <f>G23*(H23-$H$61)/$H$33</f>
        <v>42.310606060606062</v>
      </c>
      <c r="P23" s="395"/>
    </row>
    <row r="24" spans="2:19" ht="13.15" customHeight="1" collapsed="1">
      <c r="B24" s="394"/>
      <c r="H24" s="60"/>
      <c r="I24" s="60"/>
      <c r="J24" s="60"/>
      <c r="L24" s="60"/>
      <c r="P24" s="395"/>
    </row>
    <row r="25" spans="2:19" ht="13.15" customHeight="1">
      <c r="B25" s="396" t="s">
        <v>50</v>
      </c>
      <c r="C25" s="397"/>
      <c r="D25" s="398"/>
      <c r="E25" s="399"/>
      <c r="F25" s="398"/>
      <c r="G25" s="399"/>
      <c r="H25" s="399"/>
      <c r="I25" s="399"/>
      <c r="J25" s="399"/>
      <c r="K25" s="401"/>
      <c r="L25" s="398"/>
      <c r="M25" s="399"/>
      <c r="N25" s="399"/>
      <c r="O25" s="399"/>
      <c r="P25" s="395"/>
    </row>
    <row r="26" spans="2:19" ht="13.15" customHeight="1">
      <c r="B26" s="404"/>
      <c r="C26" s="406" t="s">
        <v>51</v>
      </c>
      <c r="G26" s="365">
        <v>2</v>
      </c>
      <c r="H26" s="392"/>
      <c r="I26" s="391"/>
      <c r="J26" s="391"/>
      <c r="P26" s="395"/>
    </row>
    <row r="27" spans="2:19" ht="13.15" customHeight="1">
      <c r="B27" s="404"/>
      <c r="C27" s="406" t="s">
        <v>52</v>
      </c>
      <c r="G27" s="409">
        <v>68</v>
      </c>
      <c r="H27" s="392"/>
      <c r="I27" s="391"/>
      <c r="J27" s="391"/>
      <c r="P27" s="395"/>
    </row>
    <row r="28" spans="2:19" ht="13.15" customHeight="1">
      <c r="B28" s="404"/>
      <c r="C28" s="406" t="s">
        <v>53</v>
      </c>
      <c r="G28" s="365">
        <v>2</v>
      </c>
      <c r="H28" s="392"/>
      <c r="I28" s="391"/>
      <c r="J28" s="391"/>
      <c r="P28" s="395"/>
    </row>
    <row r="29" spans="2:19" ht="13.15" customHeight="1">
      <c r="B29" s="404"/>
      <c r="C29" s="406" t="s">
        <v>54</v>
      </c>
      <c r="G29" s="364">
        <v>68</v>
      </c>
      <c r="H29" s="392"/>
      <c r="I29" s="391"/>
      <c r="J29" s="391"/>
      <c r="P29" s="395"/>
    </row>
    <row r="30" spans="2:19" ht="13.15" customHeight="1">
      <c r="B30" s="404"/>
      <c r="C30" s="405" t="s">
        <v>55</v>
      </c>
      <c r="G30" s="409">
        <v>7</v>
      </c>
      <c r="H30" s="391"/>
      <c r="I30" s="391"/>
      <c r="J30" s="391"/>
      <c r="P30" s="395"/>
    </row>
    <row r="31" spans="2:19">
      <c r="B31" s="414"/>
      <c r="C31" s="415"/>
      <c r="D31" s="68"/>
      <c r="E31" s="416"/>
      <c r="F31" s="68"/>
      <c r="G31" s="68"/>
      <c r="H31" s="417"/>
      <c r="I31" s="417"/>
      <c r="J31" s="417"/>
      <c r="K31" s="418"/>
      <c r="L31" s="68"/>
      <c r="M31" s="416"/>
      <c r="N31" s="416"/>
      <c r="O31" s="416"/>
      <c r="P31" s="395"/>
    </row>
    <row r="32" spans="2:19">
      <c r="B32" s="396" t="s">
        <v>56</v>
      </c>
      <c r="C32" s="397"/>
      <c r="D32" s="398"/>
      <c r="E32" s="399"/>
      <c r="F32" s="398"/>
      <c r="G32" s="399"/>
      <c r="H32" s="400" t="s">
        <v>32</v>
      </c>
      <c r="I32" s="400" t="s">
        <v>33</v>
      </c>
      <c r="J32" s="400" t="s">
        <v>34</v>
      </c>
      <c r="K32" s="401"/>
      <c r="L32" s="399"/>
      <c r="M32" s="399"/>
      <c r="N32" s="399"/>
      <c r="O32" s="399"/>
      <c r="P32" s="395"/>
      <c r="S32" s="61"/>
    </row>
    <row r="33" spans="2:19">
      <c r="B33" s="404"/>
      <c r="C33" s="406" t="s">
        <v>57</v>
      </c>
      <c r="G33" s="391"/>
      <c r="H33" s="365">
        <v>2640</v>
      </c>
      <c r="I33" s="391"/>
      <c r="J33" s="391"/>
      <c r="L33" s="366" t="s">
        <v>58</v>
      </c>
      <c r="M33" s="534" t="s">
        <v>59</v>
      </c>
      <c r="N33" s="535">
        <v>46108</v>
      </c>
      <c r="O33" s="367"/>
      <c r="P33" s="395"/>
      <c r="S33" s="61"/>
    </row>
    <row r="34" spans="2:19">
      <c r="B34" s="404"/>
      <c r="C34" s="406" t="s">
        <v>60</v>
      </c>
      <c r="G34" s="391"/>
      <c r="H34" s="391"/>
      <c r="I34" s="391"/>
      <c r="J34" s="365">
        <v>1650</v>
      </c>
      <c r="L34" s="366" t="s">
        <v>58</v>
      </c>
      <c r="M34" s="367"/>
      <c r="N34" s="367"/>
      <c r="O34" s="367"/>
      <c r="P34" s="395"/>
      <c r="S34" s="61"/>
    </row>
    <row r="35" spans="2:19">
      <c r="B35" s="419"/>
      <c r="C35" s="70" t="s">
        <v>61</v>
      </c>
      <c r="G35" s="391"/>
      <c r="H35" s="365">
        <v>820</v>
      </c>
      <c r="I35" s="391"/>
      <c r="J35" s="391"/>
      <c r="L35" s="366" t="s">
        <v>58</v>
      </c>
      <c r="M35" s="367"/>
      <c r="N35" s="367"/>
      <c r="O35" s="367"/>
      <c r="P35" s="395"/>
    </row>
    <row r="36" spans="2:19">
      <c r="B36" s="419"/>
      <c r="C36" s="70" t="s">
        <v>62</v>
      </c>
      <c r="G36" s="391"/>
      <c r="H36" s="365">
        <v>700</v>
      </c>
      <c r="I36" s="391"/>
      <c r="J36" s="391"/>
      <c r="L36" s="366" t="s">
        <v>58</v>
      </c>
      <c r="M36" s="367"/>
      <c r="N36" s="367"/>
      <c r="O36" s="367"/>
      <c r="P36" s="395"/>
    </row>
    <row r="37" spans="2:19">
      <c r="B37" s="419"/>
      <c r="C37" s="70" t="s">
        <v>63</v>
      </c>
      <c r="G37" s="391"/>
      <c r="H37" s="420" t="s">
        <v>64</v>
      </c>
      <c r="I37" s="420" t="s">
        <v>65</v>
      </c>
      <c r="J37" s="391"/>
      <c r="L37" s="67"/>
      <c r="M37" s="526"/>
      <c r="N37" s="526"/>
      <c r="O37" s="526"/>
      <c r="P37" s="395"/>
    </row>
    <row r="38" spans="2:19">
      <c r="B38" s="419"/>
      <c r="C38" s="70" t="s">
        <v>63</v>
      </c>
      <c r="G38" s="391"/>
      <c r="H38" s="365">
        <v>1584</v>
      </c>
      <c r="I38" s="365">
        <v>1574</v>
      </c>
      <c r="J38" s="391"/>
      <c r="L38" s="366" t="s">
        <v>58</v>
      </c>
      <c r="M38" s="367"/>
      <c r="N38" s="367"/>
      <c r="O38" s="367"/>
      <c r="P38" s="395"/>
    </row>
    <row r="39" spans="2:19">
      <c r="B39" s="419"/>
      <c r="C39" s="70" t="s">
        <v>66</v>
      </c>
      <c r="G39" s="391"/>
      <c r="H39" s="391"/>
      <c r="I39" s="365">
        <v>1846</v>
      </c>
      <c r="J39" s="391"/>
      <c r="L39" s="366" t="s">
        <v>58</v>
      </c>
      <c r="M39" s="367"/>
      <c r="N39" s="367"/>
      <c r="O39" s="367"/>
      <c r="P39" s="395"/>
    </row>
    <row r="40" spans="2:19" s="68" customFormat="1" ht="12.75" customHeight="1">
      <c r="B40" s="421"/>
      <c r="E40" s="416"/>
      <c r="H40" s="416"/>
      <c r="I40" s="416"/>
      <c r="J40" s="416"/>
      <c r="K40" s="418"/>
      <c r="L40" s="69"/>
      <c r="M40" s="527"/>
      <c r="N40" s="527"/>
      <c r="O40" s="527"/>
      <c r="P40" s="422"/>
    </row>
    <row r="41" spans="2:19" s="68" customFormat="1" ht="12.75" customHeight="1">
      <c r="B41" s="396" t="s">
        <v>67</v>
      </c>
      <c r="C41" s="397"/>
      <c r="D41" s="398"/>
      <c r="E41" s="399"/>
      <c r="F41" s="398"/>
      <c r="G41" s="399"/>
      <c r="H41" s="400" t="s">
        <v>32</v>
      </c>
      <c r="I41" s="400" t="s">
        <v>33</v>
      </c>
      <c r="J41" s="400" t="s">
        <v>34</v>
      </c>
      <c r="K41" s="401"/>
      <c r="L41" s="374"/>
      <c r="M41" s="528"/>
      <c r="N41" s="528"/>
      <c r="O41" s="528"/>
      <c r="P41" s="422"/>
    </row>
    <row r="42" spans="2:19" s="68" customFormat="1" ht="12.75" customHeight="1">
      <c r="B42" s="404"/>
      <c r="C42" s="406" t="s">
        <v>68</v>
      </c>
      <c r="D42" s="60"/>
      <c r="E42" s="61"/>
      <c r="F42" s="60"/>
      <c r="G42" s="391"/>
      <c r="H42" s="365">
        <v>1334</v>
      </c>
      <c r="I42" s="365">
        <v>-355</v>
      </c>
      <c r="J42" s="365">
        <v>390.3</v>
      </c>
      <c r="K42" s="66"/>
      <c r="L42" s="366" t="s">
        <v>58</v>
      </c>
      <c r="M42" s="367"/>
      <c r="N42" s="367"/>
      <c r="O42" s="367"/>
      <c r="P42" s="422"/>
    </row>
    <row r="43" spans="2:19" s="68" customFormat="1" ht="12.75" customHeight="1">
      <c r="B43" s="404"/>
      <c r="C43" s="406" t="s">
        <v>69</v>
      </c>
      <c r="D43" s="60"/>
      <c r="E43" s="61"/>
      <c r="F43" s="60"/>
      <c r="G43" s="391"/>
      <c r="H43" s="532"/>
      <c r="I43" s="532"/>
      <c r="J43" s="365">
        <v>90</v>
      </c>
      <c r="K43" s="66"/>
      <c r="L43" s="366" t="s">
        <v>58</v>
      </c>
      <c r="M43" s="367"/>
      <c r="N43" s="367"/>
      <c r="O43" s="367"/>
      <c r="P43" s="422"/>
    </row>
    <row r="44" spans="2:19" s="68" customFormat="1" ht="12.75" customHeight="1">
      <c r="B44" s="404"/>
      <c r="C44" s="406" t="s">
        <v>70</v>
      </c>
      <c r="D44" s="60"/>
      <c r="E44" s="61"/>
      <c r="F44" s="60"/>
      <c r="G44" s="391"/>
      <c r="H44" s="365">
        <v>437</v>
      </c>
      <c r="I44" s="391"/>
      <c r="J44" s="391"/>
      <c r="K44" s="66"/>
      <c r="L44" s="366" t="s">
        <v>58</v>
      </c>
      <c r="M44" s="367"/>
      <c r="N44" s="367"/>
      <c r="O44" s="367"/>
      <c r="P44" s="422"/>
    </row>
    <row r="45" spans="2:19" s="68" customFormat="1" ht="12.75" customHeight="1">
      <c r="B45" s="404"/>
      <c r="C45" s="406" t="s">
        <v>71</v>
      </c>
      <c r="D45" s="60"/>
      <c r="E45" s="61"/>
      <c r="F45" s="60"/>
      <c r="G45" s="391"/>
      <c r="H45" s="365">
        <v>946</v>
      </c>
      <c r="I45" s="391"/>
      <c r="J45" s="367">
        <v>750</v>
      </c>
      <c r="K45" s="66"/>
      <c r="L45" s="366" t="s">
        <v>58</v>
      </c>
      <c r="M45" s="367"/>
      <c r="N45" s="367"/>
      <c r="O45" s="367"/>
      <c r="P45" s="422"/>
    </row>
    <row r="46" spans="2:19" s="68" customFormat="1" ht="12.75" customHeight="1">
      <c r="B46" s="404"/>
      <c r="C46" s="406" t="s">
        <v>72</v>
      </c>
      <c r="D46" s="60"/>
      <c r="E46" s="61"/>
      <c r="F46" s="60"/>
      <c r="G46" s="391"/>
      <c r="H46" s="365">
        <v>475.2</v>
      </c>
      <c r="I46" s="391"/>
      <c r="J46" s="367">
        <v>531.79999999999995</v>
      </c>
      <c r="K46" s="66"/>
      <c r="L46" s="366" t="s">
        <v>58</v>
      </c>
      <c r="M46" s="367"/>
      <c r="N46" s="367"/>
      <c r="O46" s="367"/>
      <c r="P46" s="422"/>
    </row>
    <row r="47" spans="2:19" s="68" customFormat="1" ht="12.75" customHeight="1">
      <c r="B47" s="394"/>
      <c r="C47" s="60"/>
      <c r="D47" s="60"/>
      <c r="E47" s="61"/>
      <c r="F47" s="60"/>
      <c r="G47" s="60"/>
      <c r="H47" s="61"/>
      <c r="I47" s="61"/>
      <c r="J47" s="61"/>
      <c r="K47" s="66"/>
      <c r="L47" s="67"/>
      <c r="M47" s="526"/>
      <c r="N47" s="526"/>
      <c r="O47" s="526"/>
      <c r="P47" s="422"/>
    </row>
    <row r="48" spans="2:19" s="68" customFormat="1" ht="12.75" customHeight="1">
      <c r="B48" s="396" t="s">
        <v>73</v>
      </c>
      <c r="C48" s="397"/>
      <c r="D48" s="398"/>
      <c r="E48" s="399"/>
      <c r="F48" s="398"/>
      <c r="G48" s="399"/>
      <c r="H48" s="400" t="s">
        <v>32</v>
      </c>
      <c r="I48" s="400" t="s">
        <v>33</v>
      </c>
      <c r="J48" s="400" t="s">
        <v>34</v>
      </c>
      <c r="K48" s="401"/>
      <c r="L48" s="374"/>
      <c r="M48" s="528"/>
      <c r="N48" s="528"/>
      <c r="O48" s="528"/>
      <c r="P48" s="422"/>
    </row>
    <row r="49" spans="2:16" s="68" customFormat="1" ht="12.75" customHeight="1">
      <c r="B49" s="404"/>
      <c r="C49" s="406" t="s">
        <v>74</v>
      </c>
      <c r="D49" s="60"/>
      <c r="E49" s="61"/>
      <c r="F49" s="60"/>
      <c r="G49" s="391"/>
      <c r="H49" s="365">
        <v>2130</v>
      </c>
      <c r="I49" s="365">
        <v>355</v>
      </c>
      <c r="J49" s="365">
        <v>389</v>
      </c>
      <c r="K49" s="66"/>
      <c r="L49" s="366" t="s">
        <v>58</v>
      </c>
      <c r="M49" s="367"/>
      <c r="N49" s="367"/>
      <c r="O49" s="367"/>
      <c r="P49" s="422"/>
    </row>
    <row r="50" spans="2:16" s="68" customFormat="1" ht="12.75" customHeight="1">
      <c r="B50" s="394"/>
      <c r="C50" s="60"/>
      <c r="D50" s="60"/>
      <c r="E50" s="61"/>
      <c r="F50" s="60"/>
      <c r="G50" s="60"/>
      <c r="H50" s="61"/>
      <c r="I50" s="61"/>
      <c r="J50" s="61"/>
      <c r="K50" s="66"/>
      <c r="L50" s="67"/>
      <c r="M50" s="526"/>
      <c r="N50" s="526"/>
      <c r="O50" s="526"/>
      <c r="P50" s="422"/>
    </row>
    <row r="51" spans="2:16" s="68" customFormat="1" ht="12.75" customHeight="1">
      <c r="B51" s="396" t="s">
        <v>75</v>
      </c>
      <c r="C51" s="397"/>
      <c r="D51" s="398"/>
      <c r="E51" s="399"/>
      <c r="F51" s="398"/>
      <c r="G51" s="399"/>
      <c r="H51" s="400" t="s">
        <v>32</v>
      </c>
      <c r="I51" s="400" t="s">
        <v>33</v>
      </c>
      <c r="J51" s="400" t="s">
        <v>34</v>
      </c>
      <c r="K51" s="401"/>
      <c r="L51" s="374"/>
      <c r="M51" s="528"/>
      <c r="N51" s="528"/>
      <c r="O51" s="528"/>
      <c r="P51" s="422"/>
    </row>
    <row r="52" spans="2:16" s="68" customFormat="1" ht="12.75" customHeight="1">
      <c r="B52" s="404"/>
      <c r="C52" s="406" t="s">
        <v>76</v>
      </c>
      <c r="D52" s="60"/>
      <c r="E52" s="61"/>
      <c r="F52" s="60"/>
      <c r="G52" s="391"/>
      <c r="H52" s="367"/>
      <c r="I52" s="367"/>
      <c r="J52" s="391"/>
      <c r="K52" s="66"/>
      <c r="L52" s="366" t="s">
        <v>58</v>
      </c>
      <c r="M52" s="367"/>
      <c r="N52" s="367"/>
      <c r="O52" s="367"/>
      <c r="P52" s="422"/>
    </row>
    <row r="53" spans="2:16" s="68" customFormat="1" ht="12.75" customHeight="1">
      <c r="B53" s="404"/>
      <c r="C53" s="406" t="s">
        <v>77</v>
      </c>
      <c r="D53" s="60"/>
      <c r="E53" s="61"/>
      <c r="F53" s="60"/>
      <c r="G53" s="391"/>
      <c r="H53" s="391"/>
      <c r="I53" s="391"/>
      <c r="J53" s="365"/>
      <c r="K53" s="66"/>
      <c r="L53" s="366" t="s">
        <v>58</v>
      </c>
      <c r="M53" s="367"/>
      <c r="N53" s="367"/>
      <c r="O53" s="367"/>
      <c r="P53" s="422"/>
    </row>
    <row r="54" spans="2:16" s="68" customFormat="1" ht="12.75" customHeight="1">
      <c r="B54" s="394"/>
      <c r="C54" s="60"/>
      <c r="D54" s="60"/>
      <c r="E54" s="61"/>
      <c r="F54" s="60"/>
      <c r="G54" s="60"/>
      <c r="H54" s="61"/>
      <c r="I54" s="61"/>
      <c r="J54" s="61"/>
      <c r="K54" s="66"/>
      <c r="L54" s="67"/>
      <c r="M54" s="526"/>
      <c r="N54" s="526"/>
      <c r="O54" s="526"/>
      <c r="P54" s="422"/>
    </row>
    <row r="55" spans="2:16" s="68" customFormat="1" ht="12.75" customHeight="1">
      <c r="B55" s="396" t="s">
        <v>78</v>
      </c>
      <c r="C55" s="397"/>
      <c r="D55" s="398"/>
      <c r="E55" s="399"/>
      <c r="F55" s="398"/>
      <c r="G55" s="399"/>
      <c r="H55" s="400" t="s">
        <v>32</v>
      </c>
      <c r="I55" s="400" t="s">
        <v>33</v>
      </c>
      <c r="J55" s="400" t="s">
        <v>34</v>
      </c>
      <c r="K55" s="401"/>
      <c r="L55" s="374"/>
      <c r="M55" s="528"/>
      <c r="N55" s="528"/>
      <c r="O55" s="528"/>
      <c r="P55" s="422"/>
    </row>
    <row r="56" spans="2:16" s="68" customFormat="1" ht="12.75" customHeight="1">
      <c r="B56" s="419"/>
      <c r="C56" s="70" t="s">
        <v>79</v>
      </c>
      <c r="D56" s="60"/>
      <c r="E56" s="61"/>
      <c r="F56" s="60"/>
      <c r="G56" s="391"/>
      <c r="H56" s="64">
        <v>1960</v>
      </c>
      <c r="I56" s="64">
        <v>38</v>
      </c>
      <c r="J56" s="64">
        <v>33</v>
      </c>
      <c r="K56" s="66"/>
      <c r="L56" s="366" t="s">
        <v>58</v>
      </c>
      <c r="M56" s="367"/>
      <c r="N56" s="367"/>
      <c r="O56" s="367"/>
      <c r="P56" s="422"/>
    </row>
    <row r="57" spans="2:16" s="68" customFormat="1" ht="12.75" customHeight="1">
      <c r="B57" s="419"/>
      <c r="C57" s="70" t="s">
        <v>80</v>
      </c>
      <c r="D57" s="60"/>
      <c r="E57" s="61"/>
      <c r="F57" s="60"/>
      <c r="G57" s="391"/>
      <c r="H57" s="64">
        <v>2750</v>
      </c>
      <c r="I57" s="64">
        <v>0</v>
      </c>
      <c r="J57" s="64">
        <v>625</v>
      </c>
      <c r="K57" s="66"/>
      <c r="L57" s="366" t="s">
        <v>58</v>
      </c>
      <c r="M57" s="367"/>
      <c r="N57" s="367"/>
      <c r="O57" s="367"/>
      <c r="P57" s="422"/>
    </row>
    <row r="58" spans="2:16" s="68" customFormat="1" ht="12.75" customHeight="1">
      <c r="B58" s="394"/>
      <c r="C58" s="60"/>
      <c r="D58" s="60"/>
      <c r="E58" s="61"/>
      <c r="F58" s="60"/>
      <c r="G58" s="60"/>
      <c r="H58" s="61"/>
      <c r="I58" s="61"/>
      <c r="J58" s="61"/>
      <c r="K58" s="66"/>
      <c r="L58" s="61"/>
      <c r="M58" s="61"/>
      <c r="N58" s="61"/>
      <c r="O58" s="61"/>
      <c r="P58" s="422"/>
    </row>
    <row r="59" spans="2:16">
      <c r="B59" s="396" t="s">
        <v>81</v>
      </c>
      <c r="C59" s="397"/>
      <c r="D59" s="398"/>
      <c r="E59" s="399"/>
      <c r="F59" s="398"/>
      <c r="G59" s="399"/>
      <c r="H59" s="399"/>
      <c r="I59" s="399"/>
      <c r="J59" s="399"/>
      <c r="K59" s="401"/>
      <c r="L59" s="398"/>
      <c r="M59" s="399"/>
      <c r="N59" s="399"/>
      <c r="O59" s="399"/>
      <c r="P59" s="395"/>
    </row>
    <row r="60" spans="2:16">
      <c r="B60" s="402"/>
      <c r="C60" s="403" t="s">
        <v>82</v>
      </c>
      <c r="D60" s="68"/>
      <c r="E60" s="416"/>
      <c r="F60" s="68"/>
      <c r="G60" s="391"/>
      <c r="H60" s="420" t="s">
        <v>32</v>
      </c>
      <c r="I60" s="423" t="s">
        <v>33</v>
      </c>
      <c r="J60" s="420" t="s">
        <v>34</v>
      </c>
      <c r="K60" s="418"/>
      <c r="L60" s="68"/>
      <c r="M60" s="416"/>
      <c r="N60" s="416"/>
      <c r="O60" s="416"/>
      <c r="P60" s="395"/>
    </row>
    <row r="61" spans="2:16">
      <c r="B61" s="404"/>
      <c r="C61" s="405" t="s">
        <v>83</v>
      </c>
      <c r="D61" s="68"/>
      <c r="E61" s="416"/>
      <c r="F61" s="68"/>
      <c r="G61" s="391"/>
      <c r="H61" s="533">
        <v>-42.5</v>
      </c>
      <c r="I61" s="391"/>
      <c r="J61" s="368">
        <v>67</v>
      </c>
      <c r="K61" s="418"/>
      <c r="L61" s="366" t="s">
        <v>58</v>
      </c>
      <c r="M61" s="367"/>
      <c r="N61" s="367"/>
      <c r="O61" s="367"/>
      <c r="P61" s="395"/>
    </row>
    <row r="62" spans="2:16" ht="13.15" customHeight="1">
      <c r="B62" s="404"/>
      <c r="C62" s="405" t="s">
        <v>84</v>
      </c>
      <c r="D62" s="68"/>
      <c r="E62" s="416"/>
      <c r="F62" s="68"/>
      <c r="G62" s="391"/>
      <c r="H62" s="391"/>
      <c r="I62" s="391"/>
      <c r="J62" s="368">
        <v>-270</v>
      </c>
      <c r="K62" s="418"/>
      <c r="L62" s="366" t="s">
        <v>58</v>
      </c>
      <c r="M62" s="534" t="s">
        <v>59</v>
      </c>
      <c r="N62" s="535">
        <v>46108</v>
      </c>
      <c r="O62" s="367"/>
      <c r="P62" s="395"/>
    </row>
    <row r="63" spans="2:16" ht="13.15" customHeight="1">
      <c r="B63" s="404"/>
      <c r="C63" s="405" t="s">
        <v>85</v>
      </c>
      <c r="D63" s="68"/>
      <c r="E63" s="416"/>
      <c r="F63" s="68"/>
      <c r="G63" s="391"/>
      <c r="H63" s="391"/>
      <c r="I63" s="391"/>
      <c r="J63" s="368">
        <v>-292</v>
      </c>
      <c r="K63" s="425">
        <f>J63-J62</f>
        <v>-22</v>
      </c>
      <c r="L63" s="366" t="s">
        <v>58</v>
      </c>
      <c r="M63" s="534" t="s">
        <v>59</v>
      </c>
      <c r="N63" s="535">
        <v>46108</v>
      </c>
      <c r="O63" s="367"/>
      <c r="P63" s="395"/>
    </row>
    <row r="64" spans="2:16" ht="13.15" customHeight="1">
      <c r="B64" s="404"/>
      <c r="C64" s="405" t="s">
        <v>86</v>
      </c>
      <c r="D64" s="68"/>
      <c r="E64" s="416"/>
      <c r="F64" s="68"/>
      <c r="G64" s="391"/>
      <c r="H64" s="391"/>
      <c r="I64" s="391"/>
      <c r="J64" s="368">
        <v>-266</v>
      </c>
      <c r="K64" s="425">
        <f>J64-J62</f>
        <v>4</v>
      </c>
      <c r="L64" s="67"/>
      <c r="M64" s="534" t="s">
        <v>59</v>
      </c>
      <c r="N64" s="535">
        <v>46108</v>
      </c>
      <c r="O64" s="526"/>
      <c r="P64" s="395"/>
    </row>
    <row r="65" spans="2:17" hidden="1" outlineLevel="1">
      <c r="B65" s="394"/>
      <c r="G65" s="61" t="s">
        <v>40</v>
      </c>
      <c r="H65" s="61" t="s">
        <v>41</v>
      </c>
      <c r="I65" s="61" t="s">
        <v>42</v>
      </c>
      <c r="J65" s="61" t="s">
        <v>43</v>
      </c>
      <c r="K65" s="427"/>
      <c r="P65" s="395"/>
    </row>
    <row r="66" spans="2:17" hidden="1" outlineLevel="1">
      <c r="B66" s="394"/>
      <c r="C66" s="410" t="s">
        <v>87</v>
      </c>
      <c r="G66" s="411">
        <f>G26*G27</f>
        <v>136</v>
      </c>
      <c r="H66" s="412">
        <f>H42</f>
        <v>1334</v>
      </c>
      <c r="I66" s="411">
        <f>G66-J66</f>
        <v>65.089393939393943</v>
      </c>
      <c r="J66" s="411">
        <f>G66*(H66-$H$61)/$H$33</f>
        <v>70.910606060606057</v>
      </c>
      <c r="K66" s="427"/>
      <c r="P66" s="395"/>
    </row>
    <row r="67" spans="2:17" hidden="1" outlineLevel="1">
      <c r="B67" s="394"/>
      <c r="C67" s="410" t="s">
        <v>88</v>
      </c>
      <c r="G67" s="411">
        <f>G28*G29</f>
        <v>136</v>
      </c>
      <c r="H67" s="412">
        <f>H49</f>
        <v>2130</v>
      </c>
      <c r="I67" s="411">
        <f>G67-J67</f>
        <v>24.083333333333329</v>
      </c>
      <c r="J67" s="411">
        <f>G67*(H67-$H$61)/$H$33</f>
        <v>111.91666666666667</v>
      </c>
      <c r="K67" s="427"/>
      <c r="P67" s="395"/>
    </row>
    <row r="68" spans="2:17" hidden="1" outlineLevel="1">
      <c r="B68" s="394"/>
      <c r="C68" s="410" t="s">
        <v>89</v>
      </c>
      <c r="G68" s="411">
        <f>(G26+G28)*G30</f>
        <v>28</v>
      </c>
      <c r="H68" s="412">
        <f>H57</f>
        <v>2750</v>
      </c>
      <c r="I68" s="411">
        <f>G68-J68</f>
        <v>-1.6174242424242422</v>
      </c>
      <c r="J68" s="411">
        <f>G68*(H68-$H$61)/$H$33</f>
        <v>29.617424242424242</v>
      </c>
      <c r="K68" s="427"/>
      <c r="P68" s="395"/>
    </row>
    <row r="69" spans="2:17" hidden="1" outlineLevel="1">
      <c r="B69" s="394"/>
      <c r="C69" s="410" t="s">
        <v>90</v>
      </c>
      <c r="I69" s="413">
        <f>SUM(I66:I68)</f>
        <v>87.555303030303037</v>
      </c>
      <c r="J69" s="413">
        <f>SUM(J66:J68)</f>
        <v>212.44469696969696</v>
      </c>
      <c r="K69" s="427"/>
      <c r="P69" s="395"/>
    </row>
    <row r="70" spans="2:17" ht="13.15" hidden="1" customHeight="1" outlineLevel="1">
      <c r="B70" s="394"/>
      <c r="H70" s="60"/>
      <c r="I70" s="60"/>
      <c r="J70" s="60"/>
      <c r="K70" s="427"/>
      <c r="L70" s="60"/>
      <c r="P70" s="395"/>
    </row>
    <row r="71" spans="2:17" ht="13.15" customHeight="1" collapsed="1">
      <c r="B71" s="402"/>
      <c r="C71" s="403" t="s">
        <v>91</v>
      </c>
      <c r="D71" s="68"/>
      <c r="E71" s="416"/>
      <c r="F71" s="68"/>
      <c r="G71" s="391"/>
      <c r="H71" s="420" t="s">
        <v>32</v>
      </c>
      <c r="I71" s="423" t="s">
        <v>33</v>
      </c>
      <c r="J71" s="420" t="s">
        <v>34</v>
      </c>
      <c r="K71" s="428"/>
      <c r="L71" s="68"/>
      <c r="M71" s="416"/>
      <c r="N71" s="416"/>
      <c r="O71" s="416"/>
      <c r="P71" s="395"/>
    </row>
    <row r="72" spans="2:17" ht="13.15" customHeight="1">
      <c r="B72" s="404"/>
      <c r="C72" s="405" t="s">
        <v>92</v>
      </c>
      <c r="D72" s="68"/>
      <c r="E72" s="416"/>
      <c r="F72" s="68"/>
      <c r="G72" s="391"/>
      <c r="H72" s="368">
        <v>2597.5</v>
      </c>
      <c r="I72" s="391"/>
      <c r="J72" s="368">
        <v>76</v>
      </c>
      <c r="K72" s="428"/>
      <c r="L72" s="366" t="s">
        <v>58</v>
      </c>
      <c r="M72" s="367"/>
      <c r="N72" s="367"/>
      <c r="O72" s="367"/>
      <c r="P72" s="395"/>
    </row>
    <row r="73" spans="2:17" ht="13.15" customHeight="1">
      <c r="B73" s="404"/>
      <c r="C73" s="405" t="s">
        <v>84</v>
      </c>
      <c r="D73" s="68"/>
      <c r="F73" s="68"/>
      <c r="G73" s="391"/>
      <c r="H73" s="391"/>
      <c r="I73" s="391"/>
      <c r="J73" s="368">
        <v>-266</v>
      </c>
      <c r="K73" s="428"/>
      <c r="L73" s="366" t="s">
        <v>58</v>
      </c>
      <c r="M73" s="534" t="s">
        <v>59</v>
      </c>
      <c r="N73" s="535">
        <v>46108</v>
      </c>
      <c r="O73" s="367"/>
      <c r="P73" s="395"/>
    </row>
    <row r="74" spans="2:17" ht="13.15" customHeight="1">
      <c r="B74" s="404"/>
      <c r="C74" s="405" t="s">
        <v>85</v>
      </c>
      <c r="G74" s="391"/>
      <c r="H74" s="391"/>
      <c r="I74" s="391"/>
      <c r="J74" s="368">
        <v>-317</v>
      </c>
      <c r="K74" s="425">
        <f>J74-J73</f>
        <v>-51</v>
      </c>
      <c r="L74" s="366" t="s">
        <v>58</v>
      </c>
      <c r="M74" s="534" t="s">
        <v>59</v>
      </c>
      <c r="N74" s="535">
        <v>46108</v>
      </c>
      <c r="O74" s="367"/>
      <c r="P74" s="395"/>
    </row>
    <row r="75" spans="2:17" ht="13.15" customHeight="1">
      <c r="B75" s="404"/>
      <c r="C75" s="405" t="s">
        <v>86</v>
      </c>
      <c r="D75" s="68"/>
      <c r="E75" s="416"/>
      <c r="F75" s="68"/>
      <c r="G75" s="391"/>
      <c r="H75" s="391"/>
      <c r="I75" s="391"/>
      <c r="J75" s="368">
        <v>-235</v>
      </c>
      <c r="K75" s="425">
        <f>J75-J73</f>
        <v>31</v>
      </c>
      <c r="L75" s="67"/>
      <c r="M75" s="534" t="s">
        <v>59</v>
      </c>
      <c r="N75" s="535">
        <v>46108</v>
      </c>
      <c r="O75" s="526"/>
      <c r="P75" s="395"/>
    </row>
    <row r="76" spans="2:17">
      <c r="B76" s="394"/>
      <c r="P76" s="395"/>
    </row>
    <row r="77" spans="2:17">
      <c r="B77" s="402"/>
      <c r="C77" s="403" t="s">
        <v>93</v>
      </c>
      <c r="D77" s="68"/>
      <c r="E77" s="416"/>
      <c r="F77" s="68"/>
      <c r="G77" s="367" t="s">
        <v>94</v>
      </c>
      <c r="H77" s="391"/>
      <c r="I77" s="391"/>
      <c r="J77" s="391"/>
      <c r="K77" s="418"/>
      <c r="L77" s="68"/>
      <c r="M77" s="367"/>
      <c r="N77" s="367"/>
      <c r="O77" s="367"/>
      <c r="P77" s="395"/>
    </row>
    <row r="78" spans="2:17" ht="13.15" customHeight="1">
      <c r="B78" s="394"/>
      <c r="H78" s="60"/>
      <c r="I78" s="60"/>
      <c r="J78" s="60"/>
      <c r="L78" s="60"/>
      <c r="P78" s="395"/>
    </row>
    <row r="79" spans="2:17" ht="13.15" customHeight="1">
      <c r="B79" s="402"/>
      <c r="C79" s="403" t="s">
        <v>95</v>
      </c>
      <c r="E79" s="416"/>
      <c r="G79" s="391"/>
      <c r="H79" s="391"/>
      <c r="I79" s="391"/>
      <c r="J79" s="391"/>
      <c r="L79" s="60"/>
      <c r="P79" s="395"/>
      <c r="Q79" s="60" t="s">
        <v>96</v>
      </c>
    </row>
    <row r="80" spans="2:17" ht="13.15" customHeight="1">
      <c r="B80" s="404"/>
      <c r="C80" s="406" t="s">
        <v>97</v>
      </c>
      <c r="G80" s="391"/>
      <c r="H80" s="369" t="s">
        <v>98</v>
      </c>
      <c r="I80" s="391"/>
      <c r="J80" s="391"/>
      <c r="L80" s="60"/>
      <c r="M80" s="367"/>
      <c r="N80" s="367"/>
      <c r="O80" s="367"/>
      <c r="P80" s="395"/>
    </row>
    <row r="81" spans="2:16" ht="13.15" customHeight="1">
      <c r="B81" s="404"/>
      <c r="C81" s="406" t="s">
        <v>99</v>
      </c>
      <c r="G81" s="391"/>
      <c r="H81" s="426">
        <f>RIGHT(H80,2)*25.4+LEFT(H80,3)*LEFT(RIGHT(H80,5),2)/50</f>
        <v>713.8</v>
      </c>
      <c r="I81" s="391"/>
      <c r="J81" s="391"/>
      <c r="L81" s="60"/>
      <c r="P81" s="395"/>
    </row>
    <row r="82" spans="2:16" ht="13.15" customHeight="1">
      <c r="B82" s="404"/>
      <c r="C82" s="406"/>
      <c r="G82" s="391"/>
      <c r="H82" s="420" t="s">
        <v>100</v>
      </c>
      <c r="I82" s="423" t="s">
        <v>101</v>
      </c>
      <c r="J82" s="391"/>
      <c r="L82" s="60"/>
      <c r="P82" s="395"/>
    </row>
    <row r="83" spans="2:16" ht="13.15" customHeight="1">
      <c r="B83" s="404"/>
      <c r="C83" s="406" t="s">
        <v>102</v>
      </c>
      <c r="G83" s="391"/>
      <c r="H83" s="368">
        <v>333</v>
      </c>
      <c r="I83" s="368">
        <v>337</v>
      </c>
      <c r="J83" s="391"/>
      <c r="M83" s="534" t="s">
        <v>59</v>
      </c>
      <c r="N83" s="535">
        <v>46108</v>
      </c>
      <c r="O83" s="367"/>
      <c r="P83" s="395"/>
    </row>
    <row r="84" spans="2:16">
      <c r="B84" s="394"/>
      <c r="H84" s="60"/>
      <c r="I84" s="60"/>
      <c r="J84" s="60"/>
      <c r="L84" s="60"/>
      <c r="P84" s="395"/>
    </row>
    <row r="85" spans="2:16">
      <c r="B85" s="396" t="s">
        <v>103</v>
      </c>
      <c r="C85" s="397"/>
      <c r="D85" s="398"/>
      <c r="E85" s="399"/>
      <c r="F85" s="398"/>
      <c r="G85" s="399"/>
      <c r="H85" s="399"/>
      <c r="I85" s="399"/>
      <c r="J85" s="399"/>
      <c r="K85" s="401"/>
      <c r="L85" s="398"/>
      <c r="M85" s="399"/>
      <c r="N85" s="399"/>
      <c r="O85" s="399"/>
      <c r="P85" s="395"/>
    </row>
    <row r="86" spans="2:16">
      <c r="B86" s="402"/>
      <c r="C86" s="403" t="s">
        <v>104</v>
      </c>
      <c r="G86" s="391"/>
      <c r="H86" s="420" t="s">
        <v>32</v>
      </c>
      <c r="I86" s="423" t="s">
        <v>33</v>
      </c>
      <c r="J86" s="420" t="s">
        <v>34</v>
      </c>
      <c r="L86" s="60"/>
      <c r="P86" s="395"/>
    </row>
    <row r="87" spans="2:16" ht="12.75" customHeight="1">
      <c r="B87" s="404"/>
      <c r="C87" s="444" t="s">
        <v>105</v>
      </c>
      <c r="G87" s="409">
        <v>122.4</v>
      </c>
      <c r="H87" s="368">
        <v>-241.5</v>
      </c>
      <c r="I87" s="368">
        <v>-48</v>
      </c>
      <c r="J87" s="368">
        <v>144.4</v>
      </c>
      <c r="L87" s="370"/>
      <c r="M87" s="534" t="s">
        <v>59</v>
      </c>
      <c r="N87" s="535">
        <v>46108</v>
      </c>
      <c r="O87" s="367"/>
      <c r="P87" s="395"/>
    </row>
    <row r="88" spans="2:16">
      <c r="B88" s="394"/>
      <c r="L88" s="60"/>
      <c r="P88" s="395"/>
    </row>
    <row r="89" spans="2:16" ht="12.75" customHeight="1">
      <c r="B89" s="402"/>
      <c r="C89" s="403" t="s">
        <v>106</v>
      </c>
      <c r="G89" s="391"/>
      <c r="H89" s="420" t="s">
        <v>32</v>
      </c>
      <c r="I89" s="423" t="s">
        <v>33</v>
      </c>
      <c r="J89" s="420" t="s">
        <v>34</v>
      </c>
      <c r="L89" s="60"/>
      <c r="P89" s="395"/>
    </row>
    <row r="90" spans="2:16" ht="12.4" customHeight="1">
      <c r="B90" s="404"/>
      <c r="C90" s="444" t="s">
        <v>107</v>
      </c>
      <c r="E90" s="60"/>
      <c r="G90" s="409">
        <v>58.1</v>
      </c>
      <c r="H90" s="368"/>
      <c r="I90" s="368"/>
      <c r="J90" s="368"/>
      <c r="L90" s="370"/>
      <c r="M90" s="367"/>
      <c r="N90" s="367"/>
      <c r="O90" s="367"/>
      <c r="P90" s="395"/>
    </row>
    <row r="91" spans="2:16" ht="12.75" customHeight="1">
      <c r="B91" s="394"/>
      <c r="H91" s="60"/>
      <c r="I91" s="60"/>
      <c r="J91" s="60"/>
      <c r="L91" s="60"/>
      <c r="P91" s="395"/>
    </row>
    <row r="92" spans="2:16">
      <c r="B92" s="441" t="s">
        <v>108</v>
      </c>
      <c r="C92" s="442"/>
      <c r="D92" s="398"/>
      <c r="E92" s="399"/>
      <c r="F92" s="398"/>
      <c r="G92" s="399" t="s">
        <v>109</v>
      </c>
      <c r="H92" s="400" t="s">
        <v>32</v>
      </c>
      <c r="I92" s="400" t="s">
        <v>33</v>
      </c>
      <c r="J92" s="400" t="s">
        <v>34</v>
      </c>
      <c r="K92" s="401"/>
      <c r="L92" s="398"/>
      <c r="M92" s="399"/>
      <c r="N92" s="399"/>
      <c r="O92" s="399"/>
      <c r="P92" s="395"/>
    </row>
    <row r="93" spans="2:16">
      <c r="B93" s="419"/>
      <c r="C93" s="70" t="s">
        <v>110</v>
      </c>
      <c r="E93" s="60"/>
      <c r="G93" s="409">
        <v>510.4</v>
      </c>
      <c r="H93" s="371">
        <v>1331</v>
      </c>
      <c r="I93" s="371">
        <v>26</v>
      </c>
      <c r="J93" s="371">
        <v>-9.5</v>
      </c>
      <c r="L93" s="370" t="s">
        <v>111</v>
      </c>
      <c r="M93" s="534" t="s">
        <v>59</v>
      </c>
      <c r="N93" s="535">
        <v>46108</v>
      </c>
      <c r="O93" s="367"/>
      <c r="P93" s="395"/>
    </row>
    <row r="94" spans="2:16" ht="14.65" customHeight="1">
      <c r="B94" s="419"/>
      <c r="C94" s="70" t="s">
        <v>112</v>
      </c>
      <c r="E94" s="60"/>
      <c r="G94" s="409">
        <v>13.5</v>
      </c>
      <c r="H94" s="368"/>
      <c r="I94" s="368"/>
      <c r="J94" s="368"/>
      <c r="L94" s="370" t="s">
        <v>111</v>
      </c>
      <c r="M94" s="367"/>
      <c r="N94" s="367"/>
      <c r="O94" s="367"/>
      <c r="P94" s="395"/>
    </row>
    <row r="95" spans="2:16" ht="14.65" customHeight="1">
      <c r="B95" s="419"/>
      <c r="C95" s="70" t="s">
        <v>113</v>
      </c>
      <c r="E95" s="60"/>
      <c r="G95" s="409" t="s">
        <v>114</v>
      </c>
      <c r="H95" s="368">
        <v>1313</v>
      </c>
      <c r="I95" s="368">
        <v>324</v>
      </c>
      <c r="J95" s="368">
        <v>-36</v>
      </c>
      <c r="L95" s="370" t="s">
        <v>111</v>
      </c>
      <c r="M95" s="534" t="s">
        <v>59</v>
      </c>
      <c r="N95" s="535">
        <v>46108</v>
      </c>
      <c r="O95" s="367"/>
      <c r="P95" s="395"/>
    </row>
    <row r="96" spans="2:16" ht="14.65" customHeight="1">
      <c r="B96" s="419"/>
      <c r="C96" s="70" t="s">
        <v>115</v>
      </c>
      <c r="E96" s="60"/>
      <c r="G96" s="409">
        <v>15.2</v>
      </c>
      <c r="H96" s="368">
        <v>171</v>
      </c>
      <c r="I96" s="368">
        <v>-133</v>
      </c>
      <c r="J96" s="368">
        <v>78</v>
      </c>
      <c r="L96" s="370" t="s">
        <v>111</v>
      </c>
      <c r="M96" s="534" t="s">
        <v>59</v>
      </c>
      <c r="N96" s="535">
        <v>46108</v>
      </c>
      <c r="O96" s="367"/>
      <c r="P96" s="395"/>
    </row>
    <row r="97" spans="2:16" ht="14.65" customHeight="1">
      <c r="B97" s="419"/>
      <c r="C97" s="70" t="s">
        <v>116</v>
      </c>
      <c r="E97" s="60"/>
      <c r="G97" s="409">
        <v>17.3</v>
      </c>
      <c r="H97" s="368">
        <v>2661</v>
      </c>
      <c r="I97" s="368">
        <v>143</v>
      </c>
      <c r="J97" s="368">
        <v>130</v>
      </c>
      <c r="L97" s="370" t="s">
        <v>111</v>
      </c>
      <c r="M97" s="534" t="s">
        <v>59</v>
      </c>
      <c r="N97" s="535">
        <v>46108</v>
      </c>
      <c r="O97" s="367"/>
      <c r="P97" s="395"/>
    </row>
    <row r="98" spans="2:16" ht="14.65" customHeight="1">
      <c r="B98" s="419"/>
      <c r="C98" s="70" t="s">
        <v>117</v>
      </c>
      <c r="E98" s="60"/>
      <c r="G98" s="409" t="s">
        <v>10</v>
      </c>
      <c r="H98" s="368">
        <v>-204</v>
      </c>
      <c r="I98" s="368">
        <v>604</v>
      </c>
      <c r="J98" s="368">
        <v>536</v>
      </c>
      <c r="L98" s="370" t="s">
        <v>111</v>
      </c>
      <c r="M98" s="534" t="s">
        <v>59</v>
      </c>
      <c r="N98" s="535">
        <v>46108</v>
      </c>
      <c r="O98" s="367"/>
      <c r="P98" s="395"/>
    </row>
    <row r="99" spans="2:16" ht="14.65" customHeight="1">
      <c r="B99" s="419"/>
      <c r="C99" s="70" t="s">
        <v>118</v>
      </c>
      <c r="E99" s="60"/>
      <c r="G99" s="409">
        <v>2.6</v>
      </c>
      <c r="H99" s="368">
        <v>-493</v>
      </c>
      <c r="I99" s="368">
        <v>619</v>
      </c>
      <c r="J99" s="368">
        <v>175</v>
      </c>
      <c r="L99" s="370" t="s">
        <v>111</v>
      </c>
      <c r="M99" s="367"/>
      <c r="N99" s="367"/>
      <c r="O99" s="367"/>
      <c r="P99" s="395"/>
    </row>
    <row r="100" spans="2:16" ht="14.65" customHeight="1">
      <c r="B100" s="419"/>
      <c r="C100" s="70" t="s">
        <v>119</v>
      </c>
      <c r="E100" s="60"/>
      <c r="G100" s="409">
        <v>4.8</v>
      </c>
      <c r="H100" s="368">
        <v>577</v>
      </c>
      <c r="I100" s="368">
        <v>-326</v>
      </c>
      <c r="J100" s="368">
        <v>583</v>
      </c>
      <c r="L100" s="370" t="s">
        <v>111</v>
      </c>
      <c r="M100" s="367"/>
      <c r="N100" s="367"/>
      <c r="O100" s="367"/>
      <c r="P100" s="395"/>
    </row>
    <row r="101" spans="2:16" ht="14.65" customHeight="1">
      <c r="B101" s="419"/>
      <c r="C101" s="70" t="s">
        <v>120</v>
      </c>
      <c r="E101" s="60"/>
      <c r="G101" s="409" t="s">
        <v>121</v>
      </c>
      <c r="H101" s="368">
        <v>1265</v>
      </c>
      <c r="I101" s="368">
        <v>-290</v>
      </c>
      <c r="J101" s="368">
        <v>-32</v>
      </c>
      <c r="L101" s="370" t="s">
        <v>111</v>
      </c>
      <c r="M101" s="534" t="s">
        <v>59</v>
      </c>
      <c r="N101" s="535">
        <v>46108</v>
      </c>
      <c r="O101" s="367"/>
      <c r="P101" s="395"/>
    </row>
    <row r="102" spans="2:16" ht="14.65" customHeight="1">
      <c r="B102" s="419"/>
      <c r="C102" s="70" t="s">
        <v>122</v>
      </c>
      <c r="E102" s="60"/>
      <c r="G102" s="409">
        <v>15.9</v>
      </c>
      <c r="H102" s="368">
        <v>267</v>
      </c>
      <c r="I102" s="368">
        <v>35</v>
      </c>
      <c r="J102" s="368">
        <v>338</v>
      </c>
      <c r="L102" s="370" t="s">
        <v>111</v>
      </c>
      <c r="M102" s="367"/>
      <c r="N102" s="367"/>
      <c r="O102" s="367"/>
      <c r="P102" s="395"/>
    </row>
    <row r="103" spans="2:16" ht="14.65" customHeight="1">
      <c r="B103" s="419"/>
      <c r="C103" s="70" t="s">
        <v>123</v>
      </c>
      <c r="E103" s="60"/>
      <c r="G103" s="409">
        <v>5.9</v>
      </c>
      <c r="H103" s="368">
        <v>194</v>
      </c>
      <c r="I103" s="368">
        <v>-254</v>
      </c>
      <c r="J103" s="368">
        <v>462</v>
      </c>
      <c r="L103" s="370" t="s">
        <v>111</v>
      </c>
      <c r="M103" s="367"/>
      <c r="N103" s="367"/>
      <c r="O103" s="367"/>
      <c r="P103" s="395"/>
    </row>
    <row r="104" spans="2:16" ht="14.65" customHeight="1">
      <c r="B104" s="419"/>
      <c r="C104" s="70" t="s">
        <v>124</v>
      </c>
      <c r="E104" s="60"/>
      <c r="G104" s="409">
        <v>1.9</v>
      </c>
      <c r="H104" s="368">
        <v>305</v>
      </c>
      <c r="I104" s="368">
        <v>-201</v>
      </c>
      <c r="J104" s="368">
        <v>316</v>
      </c>
      <c r="L104" s="370" t="s">
        <v>111</v>
      </c>
      <c r="M104" s="367"/>
      <c r="N104" s="367"/>
      <c r="O104" s="367"/>
      <c r="P104" s="395"/>
    </row>
    <row r="105" spans="2:16" ht="14.65" customHeight="1">
      <c r="B105" s="419"/>
      <c r="C105" s="70" t="s">
        <v>125</v>
      </c>
      <c r="E105" s="60"/>
      <c r="G105" s="409">
        <v>1.9</v>
      </c>
      <c r="H105" s="368">
        <v>2600</v>
      </c>
      <c r="I105" s="371">
        <v>0</v>
      </c>
      <c r="J105" s="368">
        <v>252</v>
      </c>
      <c r="L105" s="370" t="s">
        <v>111</v>
      </c>
      <c r="M105" s="367"/>
      <c r="N105" s="367"/>
      <c r="O105" s="367"/>
      <c r="P105" s="395"/>
    </row>
    <row r="106" spans="2:16" ht="14.65" customHeight="1">
      <c r="B106" s="419"/>
      <c r="C106" s="70" t="s">
        <v>126</v>
      </c>
      <c r="E106" s="60"/>
      <c r="G106" s="409" t="s">
        <v>121</v>
      </c>
      <c r="H106" s="372">
        <v>1944</v>
      </c>
      <c r="I106" s="373">
        <v>42</v>
      </c>
      <c r="J106" s="372">
        <v>33</v>
      </c>
      <c r="L106" s="370" t="s">
        <v>111</v>
      </c>
      <c r="M106" s="367"/>
      <c r="N106" s="367"/>
      <c r="O106" s="367"/>
      <c r="P106" s="395"/>
    </row>
    <row r="107" spans="2:16" ht="14.65" customHeight="1">
      <c r="B107" s="419"/>
      <c r="C107" s="70" t="s">
        <v>127</v>
      </c>
      <c r="E107" s="60"/>
      <c r="G107" s="409">
        <v>2.8</v>
      </c>
      <c r="H107" s="368">
        <v>92</v>
      </c>
      <c r="I107" s="371">
        <v>-388</v>
      </c>
      <c r="J107" s="368">
        <v>477</v>
      </c>
      <c r="L107" s="370" t="s">
        <v>111</v>
      </c>
      <c r="M107" s="367"/>
      <c r="N107" s="367"/>
      <c r="O107" s="367"/>
      <c r="P107" s="395"/>
    </row>
    <row r="108" spans="2:16" ht="14.65" customHeight="1">
      <c r="B108" s="419"/>
      <c r="C108" s="70" t="s">
        <v>128</v>
      </c>
      <c r="E108" s="60"/>
      <c r="G108" s="409">
        <v>28.4</v>
      </c>
      <c r="H108" s="368">
        <v>112</v>
      </c>
      <c r="I108" s="368">
        <v>5</v>
      </c>
      <c r="J108" s="368">
        <v>-44</v>
      </c>
      <c r="L108" s="370" t="s">
        <v>111</v>
      </c>
      <c r="M108" s="534" t="s">
        <v>59</v>
      </c>
      <c r="N108" s="535">
        <v>46108</v>
      </c>
      <c r="O108" s="367"/>
      <c r="P108" s="395"/>
    </row>
    <row r="109" spans="2:16" ht="14.65" customHeight="1">
      <c r="B109" s="419"/>
      <c r="C109" s="424" t="s">
        <v>129</v>
      </c>
      <c r="E109" s="60"/>
      <c r="G109" s="409">
        <f>SUM(G111:G114)</f>
        <v>42.1</v>
      </c>
      <c r="H109" s="426">
        <v>956</v>
      </c>
      <c r="I109" s="426">
        <v>-280</v>
      </c>
      <c r="J109" s="426">
        <v>430</v>
      </c>
      <c r="L109" s="67"/>
      <c r="M109" s="526"/>
      <c r="N109" s="526"/>
      <c r="O109" s="526"/>
      <c r="P109" s="395"/>
    </row>
    <row r="110" spans="2:16" ht="14.65" customHeight="1">
      <c r="B110" s="419"/>
      <c r="C110" s="429" t="s">
        <v>130</v>
      </c>
      <c r="E110" s="60"/>
      <c r="G110" s="409">
        <v>15</v>
      </c>
      <c r="H110" s="368">
        <v>243</v>
      </c>
      <c r="I110" s="368">
        <v>-101</v>
      </c>
      <c r="J110" s="368">
        <v>369</v>
      </c>
      <c r="L110" s="370" t="s">
        <v>111</v>
      </c>
      <c r="M110" s="367"/>
      <c r="N110" s="367"/>
      <c r="O110" s="367"/>
      <c r="P110" s="395"/>
    </row>
    <row r="111" spans="2:16" ht="14.65" customHeight="1">
      <c r="B111" s="419"/>
      <c r="C111" s="429" t="s">
        <v>131</v>
      </c>
      <c r="E111" s="60"/>
      <c r="G111" s="409">
        <v>13.4</v>
      </c>
      <c r="H111" s="368">
        <v>1239</v>
      </c>
      <c r="I111" s="368">
        <v>-179</v>
      </c>
      <c r="J111" s="368">
        <v>303</v>
      </c>
      <c r="L111" s="370" t="s">
        <v>111</v>
      </c>
      <c r="M111" s="367"/>
      <c r="N111" s="367"/>
      <c r="O111" s="367"/>
      <c r="P111" s="395"/>
    </row>
    <row r="112" spans="2:16" ht="14.65" customHeight="1">
      <c r="B112" s="419"/>
      <c r="C112" s="429" t="s">
        <v>132</v>
      </c>
      <c r="E112" s="60"/>
      <c r="G112" s="409">
        <v>2.1</v>
      </c>
      <c r="H112" s="368">
        <v>479</v>
      </c>
      <c r="I112" s="368">
        <v>-242</v>
      </c>
      <c r="J112" s="368">
        <v>486</v>
      </c>
      <c r="L112" s="370" t="s">
        <v>111</v>
      </c>
      <c r="M112" s="367"/>
      <c r="N112" s="367"/>
      <c r="O112" s="367"/>
      <c r="P112" s="395"/>
    </row>
    <row r="113" spans="2:16" ht="14.65" customHeight="1">
      <c r="B113" s="419"/>
      <c r="C113" s="429" t="s">
        <v>133</v>
      </c>
      <c r="E113" s="60"/>
      <c r="G113" s="409">
        <v>1.8</v>
      </c>
      <c r="H113" s="368">
        <v>2672</v>
      </c>
      <c r="I113" s="368">
        <v>-208</v>
      </c>
      <c r="J113" s="368">
        <v>1050</v>
      </c>
      <c r="L113" s="370" t="s">
        <v>111</v>
      </c>
      <c r="M113" s="367"/>
      <c r="N113" s="367"/>
      <c r="O113" s="367"/>
      <c r="P113" s="395"/>
    </row>
    <row r="114" spans="2:16" ht="14.65" customHeight="1">
      <c r="B114" s="419"/>
      <c r="C114" s="429" t="s">
        <v>134</v>
      </c>
      <c r="E114" s="60"/>
      <c r="G114" s="409">
        <v>24.8</v>
      </c>
      <c r="H114" s="368">
        <v>1043</v>
      </c>
      <c r="I114" s="368">
        <v>-267</v>
      </c>
      <c r="J114" s="368">
        <v>327</v>
      </c>
      <c r="L114" s="370" t="s">
        <v>111</v>
      </c>
      <c r="M114" s="367"/>
      <c r="N114" s="367"/>
      <c r="O114" s="367"/>
      <c r="P114" s="395"/>
    </row>
    <row r="115" spans="2:16" ht="14.65" customHeight="1">
      <c r="B115" s="419"/>
      <c r="C115" s="70" t="s">
        <v>135</v>
      </c>
      <c r="E115" s="60"/>
      <c r="G115" s="409">
        <v>15.1</v>
      </c>
      <c r="H115" s="368">
        <v>-634.6</v>
      </c>
      <c r="I115" s="368">
        <v>-188</v>
      </c>
      <c r="J115" s="368">
        <v>191</v>
      </c>
      <c r="L115" s="370" t="s">
        <v>111</v>
      </c>
      <c r="M115" s="367"/>
      <c r="N115" s="367"/>
      <c r="O115" s="367"/>
      <c r="P115" s="395"/>
    </row>
    <row r="116" spans="2:16" ht="14.65" customHeight="1">
      <c r="B116" s="419"/>
      <c r="C116" s="70" t="s">
        <v>136</v>
      </c>
      <c r="E116" s="60"/>
      <c r="G116" s="409">
        <f>27.8-(18-2)</f>
        <v>11.8</v>
      </c>
      <c r="H116" s="368">
        <v>-359.6</v>
      </c>
      <c r="I116" s="368">
        <v>-230</v>
      </c>
      <c r="J116" s="368">
        <v>120</v>
      </c>
      <c r="L116" s="370" t="s">
        <v>111</v>
      </c>
      <c r="M116" s="367"/>
      <c r="N116" s="367"/>
      <c r="O116" s="367"/>
      <c r="P116" s="395"/>
    </row>
    <row r="117" spans="2:16" ht="13.5" customHeight="1">
      <c r="B117" s="419"/>
      <c r="C117" s="70" t="s">
        <v>137</v>
      </c>
      <c r="E117" s="60"/>
      <c r="G117" s="409">
        <v>1.1000000000000001</v>
      </c>
      <c r="H117" s="368">
        <v>-495</v>
      </c>
      <c r="I117" s="371">
        <v>-574</v>
      </c>
      <c r="J117" s="368">
        <v>240</v>
      </c>
      <c r="L117" s="370" t="s">
        <v>111</v>
      </c>
      <c r="M117" s="367"/>
      <c r="N117" s="367"/>
      <c r="O117" s="367"/>
      <c r="P117" s="395"/>
    </row>
    <row r="118" spans="2:16" ht="13.5" customHeight="1">
      <c r="B118" s="394"/>
      <c r="C118" s="66" t="s">
        <v>138</v>
      </c>
      <c r="P118" s="395"/>
    </row>
    <row r="119" spans="2:16" ht="13.5" customHeight="1">
      <c r="B119" s="419"/>
      <c r="C119" s="70" t="s">
        <v>139</v>
      </c>
      <c r="E119" s="60"/>
      <c r="G119" s="409">
        <v>462.9</v>
      </c>
      <c r="H119" s="371">
        <v>1394</v>
      </c>
      <c r="I119" s="371">
        <v>-1.9</v>
      </c>
      <c r="J119" s="371">
        <v>200</v>
      </c>
      <c r="L119" s="370" t="s">
        <v>140</v>
      </c>
      <c r="M119" s="367"/>
      <c r="N119" s="367"/>
      <c r="O119" s="367"/>
      <c r="P119" s="395"/>
    </row>
    <row r="120" spans="2:16" ht="13.5" customHeight="1">
      <c r="B120" s="419"/>
      <c r="C120" s="424" t="s">
        <v>141</v>
      </c>
      <c r="E120" s="60"/>
      <c r="G120" s="409">
        <f>SUM(G121:G122)</f>
        <v>55.1</v>
      </c>
      <c r="H120" s="426">
        <v>1826</v>
      </c>
      <c r="I120" s="426">
        <v>0</v>
      </c>
      <c r="J120" s="426">
        <v>622</v>
      </c>
      <c r="L120" s="370" t="s">
        <v>140</v>
      </c>
      <c r="P120" s="395"/>
    </row>
    <row r="121" spans="2:16" ht="13.5" customHeight="1">
      <c r="B121" s="419"/>
      <c r="C121" s="429" t="s">
        <v>142</v>
      </c>
      <c r="E121" s="60"/>
      <c r="G121" s="409">
        <v>27.6</v>
      </c>
      <c r="H121" s="371">
        <v>1927</v>
      </c>
      <c r="I121" s="371">
        <v>743</v>
      </c>
      <c r="J121" s="371">
        <v>625</v>
      </c>
      <c r="L121" s="370" t="s">
        <v>140</v>
      </c>
      <c r="M121" s="367"/>
      <c r="N121" s="367"/>
      <c r="O121" s="367"/>
      <c r="P121" s="395"/>
    </row>
    <row r="122" spans="2:16" ht="13.5" customHeight="1">
      <c r="B122" s="419"/>
      <c r="C122" s="429" t="s">
        <v>143</v>
      </c>
      <c r="E122" s="60"/>
      <c r="G122" s="409">
        <v>27.5</v>
      </c>
      <c r="H122" s="371">
        <v>1928</v>
      </c>
      <c r="I122" s="371">
        <v>-744</v>
      </c>
      <c r="J122" s="371">
        <v>624</v>
      </c>
      <c r="L122" s="370" t="s">
        <v>140</v>
      </c>
      <c r="M122" s="367"/>
      <c r="N122" s="367"/>
      <c r="O122" s="367"/>
      <c r="P122" s="395"/>
    </row>
    <row r="123" spans="2:16" ht="13.5" customHeight="1">
      <c r="B123" s="419"/>
      <c r="C123" s="424" t="s">
        <v>144</v>
      </c>
      <c r="E123" s="60"/>
      <c r="G123" s="409">
        <f>SUM(G124:G125)</f>
        <v>76.099999999999994</v>
      </c>
      <c r="H123" s="426">
        <v>980</v>
      </c>
      <c r="I123" s="426">
        <v>0</v>
      </c>
      <c r="J123" s="426">
        <v>554</v>
      </c>
      <c r="L123" s="370" t="s">
        <v>140</v>
      </c>
      <c r="P123" s="395"/>
    </row>
    <row r="124" spans="2:16" ht="13.5" customHeight="1">
      <c r="B124" s="419"/>
      <c r="C124" s="429" t="s">
        <v>145</v>
      </c>
      <c r="E124" s="60"/>
      <c r="G124" s="409">
        <v>37.6</v>
      </c>
      <c r="H124" s="371">
        <v>972</v>
      </c>
      <c r="I124" s="371">
        <v>-754</v>
      </c>
      <c r="J124" s="371">
        <v>572</v>
      </c>
      <c r="L124" s="370" t="s">
        <v>140</v>
      </c>
      <c r="M124" s="367"/>
      <c r="N124" s="367"/>
      <c r="O124" s="367"/>
      <c r="P124" s="395"/>
    </row>
    <row r="125" spans="2:16" ht="13.5" customHeight="1">
      <c r="B125" s="419"/>
      <c r="C125" s="429" t="s">
        <v>146</v>
      </c>
      <c r="E125" s="60"/>
      <c r="G125" s="409">
        <v>38.5</v>
      </c>
      <c r="H125" s="371">
        <v>-581</v>
      </c>
      <c r="I125" s="371">
        <v>574</v>
      </c>
      <c r="J125" s="371">
        <v>504</v>
      </c>
      <c r="L125" s="370" t="s">
        <v>140</v>
      </c>
      <c r="M125" s="367"/>
      <c r="N125" s="367"/>
      <c r="O125" s="367"/>
      <c r="P125" s="395"/>
    </row>
    <row r="126" spans="2:16" ht="13.5" customHeight="1">
      <c r="B126" s="419"/>
      <c r="C126" s="70" t="s">
        <v>147</v>
      </c>
      <c r="E126" s="60"/>
      <c r="G126" s="409" t="s">
        <v>10</v>
      </c>
      <c r="H126" s="371">
        <v>1637</v>
      </c>
      <c r="I126" s="371">
        <v>-1</v>
      </c>
      <c r="J126" s="371">
        <v>1199</v>
      </c>
      <c r="L126" s="370" t="s">
        <v>140</v>
      </c>
      <c r="M126" s="367"/>
      <c r="N126" s="367"/>
      <c r="O126" s="367"/>
      <c r="P126" s="395"/>
    </row>
    <row r="127" spans="2:16" ht="13.5" customHeight="1">
      <c r="B127" s="419"/>
      <c r="C127" s="70" t="s">
        <v>148</v>
      </c>
      <c r="E127" s="60"/>
      <c r="G127" s="409">
        <v>13.9</v>
      </c>
      <c r="H127" s="371">
        <v>-129</v>
      </c>
      <c r="I127" s="371">
        <v>-5</v>
      </c>
      <c r="J127" s="371">
        <v>720</v>
      </c>
      <c r="L127" s="370" t="s">
        <v>140</v>
      </c>
      <c r="M127" s="367"/>
      <c r="N127" s="367"/>
      <c r="O127" s="367"/>
      <c r="P127" s="395"/>
    </row>
    <row r="128" spans="2:16" ht="13.5" customHeight="1">
      <c r="B128" s="419"/>
      <c r="C128" s="70" t="s">
        <v>149</v>
      </c>
      <c r="E128" s="60"/>
      <c r="G128" s="409">
        <v>37.6</v>
      </c>
      <c r="H128" s="371">
        <v>2992</v>
      </c>
      <c r="I128" s="371">
        <v>2</v>
      </c>
      <c r="J128" s="371">
        <v>855</v>
      </c>
      <c r="L128" s="370" t="s">
        <v>140</v>
      </c>
      <c r="M128" s="367"/>
      <c r="N128" s="367"/>
      <c r="O128" s="367"/>
      <c r="P128" s="395"/>
    </row>
    <row r="129" spans="2:28">
      <c r="B129" s="394"/>
      <c r="P129" s="395"/>
    </row>
    <row r="130" spans="2:28">
      <c r="B130" s="394"/>
      <c r="P130" s="395"/>
    </row>
    <row r="131" spans="2:28">
      <c r="B131" s="394"/>
      <c r="P131" s="395"/>
    </row>
    <row r="132" spans="2:28" customFormat="1" ht="19.149999999999999" customHeight="1">
      <c r="B132" s="430" t="s">
        <v>150</v>
      </c>
      <c r="C132" s="37"/>
      <c r="D132" s="37"/>
      <c r="E132" s="37"/>
      <c r="F132" s="37"/>
      <c r="G132" s="37"/>
      <c r="H132" s="37"/>
      <c r="I132" s="37"/>
      <c r="J132" s="37"/>
      <c r="K132" s="188"/>
      <c r="L132" s="37"/>
      <c r="M132" s="38"/>
      <c r="N132" s="38"/>
      <c r="O132" s="38"/>
      <c r="P132" s="395"/>
      <c r="Q132" s="60"/>
      <c r="R132" s="60"/>
      <c r="S132" s="60"/>
      <c r="T132" s="60"/>
      <c r="U132" s="60"/>
      <c r="V132" s="60"/>
      <c r="W132" s="60"/>
      <c r="X132" s="60"/>
      <c r="Y132" s="60"/>
      <c r="Z132" s="60"/>
      <c r="AA132" s="60"/>
      <c r="AB132" s="60"/>
    </row>
    <row r="133" spans="2:28">
      <c r="B133" s="394"/>
      <c r="C133" s="61"/>
      <c r="D133" s="61"/>
      <c r="P133" s="395"/>
    </row>
    <row r="134" spans="2:28" ht="14.45">
      <c r="B134" s="394"/>
      <c r="E134" s="517" t="s">
        <v>151</v>
      </c>
      <c r="H134" s="453" t="s">
        <v>152</v>
      </c>
      <c r="P134" s="395"/>
    </row>
    <row r="135" spans="2:28">
      <c r="B135" s="394"/>
      <c r="C135" s="62" t="str">
        <f>"Powertrain "</f>
        <v xml:space="preserve">Powertrain </v>
      </c>
      <c r="E135" s="60"/>
      <c r="H135" s="62" t="s">
        <v>153</v>
      </c>
      <c r="I135" s="62" t="s">
        <v>154</v>
      </c>
      <c r="J135" s="62" t="s">
        <v>155</v>
      </c>
      <c r="P135" s="395"/>
    </row>
    <row r="136" spans="2:28">
      <c r="B136" s="518"/>
      <c r="C136" s="63" t="s">
        <v>156</v>
      </c>
      <c r="E136" s="60"/>
      <c r="G136" s="409"/>
      <c r="H136" s="65">
        <v>-250.50561692205937</v>
      </c>
      <c r="I136" s="65">
        <v>-62.566635782410927</v>
      </c>
      <c r="J136" s="65">
        <v>205.75984652826233</v>
      </c>
      <c r="L136" s="520">
        <v>43294</v>
      </c>
      <c r="M136" s="529"/>
      <c r="N136" s="529"/>
      <c r="O136" s="529"/>
      <c r="P136" s="395"/>
    </row>
    <row r="137" spans="2:28">
      <c r="B137" s="394"/>
      <c r="C137" s="63" t="s">
        <v>157</v>
      </c>
      <c r="E137" s="60"/>
      <c r="G137" s="409"/>
      <c r="H137" s="65">
        <v>-248.25185900451473</v>
      </c>
      <c r="I137" s="65">
        <v>-31.85581725060738</v>
      </c>
      <c r="J137" s="65">
        <v>210.58296741865223</v>
      </c>
      <c r="K137" s="520"/>
      <c r="L137" s="520">
        <v>42991</v>
      </c>
      <c r="M137" s="529"/>
      <c r="N137" s="529"/>
      <c r="O137" s="529"/>
      <c r="P137" s="395"/>
    </row>
    <row r="138" spans="2:28">
      <c r="B138" s="394"/>
      <c r="C138" s="63" t="s">
        <v>158</v>
      </c>
      <c r="E138" s="60"/>
      <c r="G138" s="409"/>
      <c r="H138" s="65">
        <v>-245.2244698044511</v>
      </c>
      <c r="I138" s="65">
        <v>-58.334488021152737</v>
      </c>
      <c r="J138" s="65">
        <v>230.08432232199715</v>
      </c>
      <c r="L138" s="520">
        <v>42907</v>
      </c>
      <c r="M138" s="529"/>
      <c r="N138" s="529"/>
      <c r="O138" s="529"/>
      <c r="P138" s="395"/>
    </row>
    <row r="139" spans="2:28">
      <c r="B139" s="394"/>
      <c r="C139" s="63" t="s">
        <v>159</v>
      </c>
      <c r="E139" s="60"/>
      <c r="G139" s="409"/>
      <c r="H139" s="65">
        <v>-244.49361097887515</v>
      </c>
      <c r="I139" s="65">
        <v>1.3025900948248557</v>
      </c>
      <c r="J139" s="65">
        <v>241.56390817456622</v>
      </c>
      <c r="L139" s="520">
        <v>42604</v>
      </c>
      <c r="M139" s="529"/>
      <c r="N139" s="529"/>
      <c r="O139" s="529"/>
      <c r="P139" s="395"/>
    </row>
    <row r="140" spans="2:28">
      <c r="B140" s="394"/>
      <c r="C140" s="63" t="s">
        <v>160</v>
      </c>
      <c r="E140" s="60"/>
      <c r="G140" s="409"/>
      <c r="H140" s="65">
        <v>-247.75279008560003</v>
      </c>
      <c r="I140" s="65">
        <v>-32.541671041637876</v>
      </c>
      <c r="J140" s="65">
        <v>229.52319593768232</v>
      </c>
      <c r="L140" s="66"/>
      <c r="P140" s="395"/>
    </row>
    <row r="141" spans="2:28">
      <c r="B141" s="394"/>
      <c r="C141" s="63" t="s">
        <v>161</v>
      </c>
      <c r="E141" s="60"/>
      <c r="G141" s="409"/>
      <c r="H141" s="65">
        <v>-244.70611576417622</v>
      </c>
      <c r="I141" s="65">
        <v>-7.9625462104450202</v>
      </c>
      <c r="J141" s="65">
        <v>236.87414115685678</v>
      </c>
      <c r="L141" s="66"/>
      <c r="P141" s="395"/>
    </row>
    <row r="142" spans="2:28">
      <c r="B142" s="394"/>
      <c r="C142" s="63" t="s">
        <v>162</v>
      </c>
      <c r="E142" s="60"/>
      <c r="G142" s="409"/>
      <c r="H142" s="65">
        <v>-252.77551209854536</v>
      </c>
      <c r="I142" s="65">
        <v>65.694432610068674</v>
      </c>
      <c r="J142" s="65">
        <v>231.91885391584498</v>
      </c>
      <c r="L142" s="66"/>
      <c r="P142" s="395"/>
    </row>
    <row r="143" spans="2:28">
      <c r="B143" s="394"/>
      <c r="C143" s="63" t="s">
        <v>163</v>
      </c>
      <c r="E143" s="60"/>
      <c r="G143" s="409"/>
      <c r="H143" s="65">
        <v>-244.2494836086338</v>
      </c>
      <c r="I143" s="65">
        <v>22.421266145823683</v>
      </c>
      <c r="J143" s="65">
        <v>243.297762780103</v>
      </c>
      <c r="L143" s="66"/>
      <c r="P143" s="395"/>
    </row>
    <row r="144" spans="2:28">
      <c r="B144" s="394"/>
      <c r="C144" s="63" t="s">
        <v>164</v>
      </c>
      <c r="E144" s="60"/>
      <c r="G144" s="409"/>
      <c r="H144" s="65">
        <v>-244.59288261334663</v>
      </c>
      <c r="I144" s="65">
        <v>-29.527960313490997</v>
      </c>
      <c r="J144" s="65">
        <v>223.44950701115675</v>
      </c>
      <c r="L144" s="66"/>
      <c r="P144" s="395"/>
    </row>
    <row r="145" spans="2:16">
      <c r="B145" s="394"/>
      <c r="C145" s="63" t="s">
        <v>165</v>
      </c>
      <c r="E145" s="60"/>
      <c r="G145" s="409"/>
      <c r="H145" s="65">
        <v>-239.73930645189165</v>
      </c>
      <c r="I145" s="65">
        <v>-0.86398791532823238</v>
      </c>
      <c r="J145" s="65">
        <v>231.57487968110078</v>
      </c>
      <c r="L145" s="66"/>
      <c r="P145" s="395"/>
    </row>
    <row r="146" spans="2:16">
      <c r="B146" s="394"/>
      <c r="C146" s="63" t="s">
        <v>166</v>
      </c>
      <c r="E146" s="60"/>
      <c r="G146" s="409"/>
      <c r="H146" s="65">
        <v>-240.96202655541478</v>
      </c>
      <c r="I146" s="65">
        <v>1.0797976129574074</v>
      </c>
      <c r="J146" s="65">
        <v>224.8558711176924</v>
      </c>
      <c r="L146" s="66"/>
      <c r="P146" s="395"/>
    </row>
    <row r="147" spans="2:16">
      <c r="B147" s="394"/>
      <c r="C147" s="63" t="s">
        <v>167</v>
      </c>
      <c r="E147" s="60"/>
      <c r="G147" s="409"/>
      <c r="H147" s="65">
        <v>-245.89355967517002</v>
      </c>
      <c r="I147" s="65">
        <v>-33.567721835927436</v>
      </c>
      <c r="J147" s="65">
        <v>214.62907350944204</v>
      </c>
      <c r="L147" s="66"/>
      <c r="P147" s="395"/>
    </row>
    <row r="148" spans="2:16">
      <c r="B148" s="394"/>
      <c r="C148" s="63" t="s">
        <v>168</v>
      </c>
      <c r="E148" s="60"/>
      <c r="G148" s="409"/>
      <c r="H148" s="65">
        <v>-244.20799646375502</v>
      </c>
      <c r="I148" s="65">
        <v>22.090773575052005</v>
      </c>
      <c r="J148" s="65">
        <v>235.06677562343955</v>
      </c>
      <c r="L148" s="66"/>
      <c r="P148" s="395"/>
    </row>
    <row r="149" spans="2:16">
      <c r="B149" s="394"/>
      <c r="C149" s="63" t="s">
        <v>169</v>
      </c>
      <c r="E149" s="60"/>
      <c r="G149" s="409"/>
      <c r="H149" s="65">
        <v>-244.20799646375502</v>
      </c>
      <c r="I149" s="65">
        <v>22.090773575052005</v>
      </c>
      <c r="J149" s="65">
        <v>235.06677562343955</v>
      </c>
      <c r="L149" s="66"/>
      <c r="P149" s="395"/>
    </row>
    <row r="150" spans="2:16">
      <c r="B150" s="394"/>
      <c r="C150" s="63" t="s">
        <v>170</v>
      </c>
      <c r="E150" s="60"/>
      <c r="G150" s="409"/>
      <c r="H150" s="65">
        <v>-240.88423151446582</v>
      </c>
      <c r="I150" s="65">
        <v>42.098188803238891</v>
      </c>
      <c r="J150" s="65">
        <v>249.80571735201426</v>
      </c>
      <c r="L150" s="66"/>
      <c r="P150" s="395"/>
    </row>
    <row r="151" spans="2:16">
      <c r="B151" s="394"/>
      <c r="C151" s="63" t="s">
        <v>171</v>
      </c>
      <c r="E151" s="60"/>
      <c r="G151" s="409"/>
      <c r="H151" s="65">
        <v>-234.17402509905486</v>
      </c>
      <c r="I151" s="65">
        <v>48.986551392859091</v>
      </c>
      <c r="J151" s="65">
        <v>237.93704660078279</v>
      </c>
      <c r="L151" s="66"/>
      <c r="P151" s="395"/>
    </row>
    <row r="152" spans="2:16">
      <c r="B152" s="394"/>
      <c r="C152" s="63" t="s">
        <v>172</v>
      </c>
      <c r="E152" s="60"/>
      <c r="G152" s="409"/>
      <c r="H152" s="65">
        <v>-244.39719903643945</v>
      </c>
      <c r="I152" s="65">
        <v>6.4063903285302084</v>
      </c>
      <c r="J152" s="65">
        <v>226.4306204243812</v>
      </c>
      <c r="L152" s="66"/>
      <c r="P152" s="395"/>
    </row>
    <row r="153" spans="2:16">
      <c r="B153" s="394"/>
      <c r="C153" s="63" t="s">
        <v>173</v>
      </c>
      <c r="E153" s="60"/>
      <c r="G153" s="409"/>
      <c r="H153" s="65">
        <v>-231.63133922155046</v>
      </c>
      <c r="I153" s="65">
        <v>25.479562873786872</v>
      </c>
      <c r="J153" s="65">
        <v>231.45895292560422</v>
      </c>
      <c r="L153" s="66"/>
      <c r="P153" s="395"/>
    </row>
    <row r="154" spans="2:16">
      <c r="B154" s="394"/>
      <c r="C154" s="63" t="s">
        <v>174</v>
      </c>
      <c r="E154" s="60"/>
      <c r="G154" s="409"/>
      <c r="H154" s="65">
        <v>-235.47114395381814</v>
      </c>
      <c r="I154" s="65">
        <v>31.407936938166213</v>
      </c>
      <c r="J154" s="65">
        <v>243.74909195194778</v>
      </c>
      <c r="L154" s="66"/>
      <c r="P154" s="395"/>
    </row>
    <row r="155" spans="2:16">
      <c r="B155" s="394"/>
      <c r="C155" s="63" t="s">
        <v>175</v>
      </c>
      <c r="E155" s="60"/>
      <c r="G155" s="409"/>
      <c r="H155" s="65">
        <v>-243.08581374395831</v>
      </c>
      <c r="I155" s="65">
        <v>-9.1578628659374886</v>
      </c>
      <c r="J155" s="65">
        <v>229.85800780202936</v>
      </c>
      <c r="L155" s="520">
        <v>42289</v>
      </c>
      <c r="M155" s="529"/>
      <c r="N155" s="529"/>
      <c r="O155" s="529"/>
      <c r="P155" s="395"/>
    </row>
    <row r="156" spans="2:16">
      <c r="B156" s="394"/>
      <c r="C156" s="63" t="s">
        <v>176</v>
      </c>
      <c r="E156" s="60"/>
      <c r="G156" s="409"/>
      <c r="H156" s="65">
        <v>-230.48164643395083</v>
      </c>
      <c r="I156" s="65">
        <v>14.539850073571676</v>
      </c>
      <c r="J156" s="65">
        <v>237.32418100294876</v>
      </c>
      <c r="L156" s="520">
        <v>42277</v>
      </c>
      <c r="M156" s="529"/>
      <c r="N156" s="529"/>
      <c r="O156" s="529"/>
      <c r="P156" s="395"/>
    </row>
    <row r="157" spans="2:16">
      <c r="B157" s="394" t="s">
        <v>177</v>
      </c>
      <c r="C157" s="63" t="s">
        <v>178</v>
      </c>
      <c r="E157" s="60"/>
      <c r="G157" s="409"/>
      <c r="H157" s="519">
        <v>-193.934</v>
      </c>
      <c r="I157" s="519">
        <v>-16.888999999999999</v>
      </c>
      <c r="J157" s="519">
        <v>220.953</v>
      </c>
      <c r="L157" s="520">
        <v>44743</v>
      </c>
      <c r="M157" s="529"/>
      <c r="N157" s="529"/>
      <c r="O157" s="529"/>
      <c r="P157" s="395"/>
    </row>
    <row r="158" spans="2:16">
      <c r="B158" s="394" t="s">
        <v>177</v>
      </c>
      <c r="C158" s="63" t="s">
        <v>179</v>
      </c>
      <c r="E158" s="60"/>
      <c r="G158" s="409"/>
      <c r="H158" s="519">
        <v>-177.63399999999999</v>
      </c>
      <c r="I158" s="519">
        <v>28.248000000000001</v>
      </c>
      <c r="J158" s="519">
        <v>226.30199999999999</v>
      </c>
      <c r="L158" s="520">
        <v>44335</v>
      </c>
      <c r="M158" s="529"/>
      <c r="N158" s="529"/>
      <c r="O158" s="529"/>
      <c r="P158" s="395"/>
    </row>
    <row r="159" spans="2:16">
      <c r="B159" s="394" t="s">
        <v>180</v>
      </c>
      <c r="C159" s="63" t="s">
        <v>181</v>
      </c>
      <c r="E159" s="60"/>
      <c r="G159" s="409"/>
      <c r="H159" s="519">
        <v>-189.94300000000001</v>
      </c>
      <c r="I159" s="519">
        <v>-26.596</v>
      </c>
      <c r="J159" s="519">
        <v>209.90600000000001</v>
      </c>
      <c r="L159" s="520">
        <v>44335</v>
      </c>
      <c r="M159" s="529"/>
      <c r="N159" s="529"/>
      <c r="O159" s="529"/>
      <c r="P159" s="395"/>
    </row>
    <row r="160" spans="2:16">
      <c r="B160" s="394" t="s">
        <v>177</v>
      </c>
      <c r="C160" s="63" t="s">
        <v>182</v>
      </c>
      <c r="E160" s="60"/>
      <c r="G160" s="409"/>
      <c r="H160" s="519">
        <v>-239.83699999999999</v>
      </c>
      <c r="I160" s="519">
        <v>10.029999999999999</v>
      </c>
      <c r="J160" s="519">
        <v>223.06200000000001</v>
      </c>
      <c r="L160" s="520">
        <v>44641</v>
      </c>
      <c r="M160" s="529"/>
      <c r="N160" s="529"/>
      <c r="O160" s="529"/>
      <c r="P160" s="395"/>
    </row>
    <row r="161" spans="2:28">
      <c r="B161" s="394" t="s">
        <v>177</v>
      </c>
      <c r="C161" s="63" t="s">
        <v>183</v>
      </c>
      <c r="E161" s="60"/>
      <c r="G161" s="409"/>
      <c r="H161" s="519">
        <v>-242.71700000000001</v>
      </c>
      <c r="I161" s="519">
        <v>11.651999999999999</v>
      </c>
      <c r="J161" s="519">
        <v>224.149</v>
      </c>
      <c r="L161" s="520">
        <v>44641</v>
      </c>
      <c r="M161" s="529"/>
      <c r="N161" s="529"/>
      <c r="O161" s="529"/>
      <c r="P161" s="395"/>
    </row>
    <row r="162" spans="2:28">
      <c r="B162" s="394" t="s">
        <v>180</v>
      </c>
      <c r="C162" s="63" t="s">
        <v>184</v>
      </c>
      <c r="E162" s="60"/>
      <c r="G162" s="409"/>
      <c r="H162" s="519">
        <v>-248.98099999999999</v>
      </c>
      <c r="I162" s="519">
        <v>-32.570999999999998</v>
      </c>
      <c r="J162" s="519">
        <v>214.79300000000001</v>
      </c>
      <c r="L162" s="520">
        <v>44334</v>
      </c>
      <c r="M162" s="529"/>
      <c r="N162" s="529"/>
      <c r="O162" s="529"/>
      <c r="P162" s="395"/>
    </row>
    <row r="163" spans="2:28">
      <c r="B163" s="394" t="s">
        <v>185</v>
      </c>
      <c r="C163" s="63" t="s">
        <v>186</v>
      </c>
      <c r="E163" s="60"/>
      <c r="G163" s="409"/>
      <c r="H163" s="519">
        <v>-244.12299999999999</v>
      </c>
      <c r="I163" s="519">
        <v>-2.8959999999999999</v>
      </c>
      <c r="J163" s="519">
        <v>229.089</v>
      </c>
      <c r="L163" s="520">
        <v>44538</v>
      </c>
      <c r="M163" s="529"/>
      <c r="N163" s="529"/>
      <c r="O163" s="529"/>
      <c r="P163" s="395"/>
    </row>
    <row r="164" spans="2:28">
      <c r="B164" s="394" t="s">
        <v>187</v>
      </c>
      <c r="C164" s="63" t="s">
        <v>188</v>
      </c>
      <c r="E164" s="60"/>
      <c r="G164" s="409"/>
      <c r="H164" s="519">
        <v>2600.355</v>
      </c>
      <c r="I164" s="519">
        <v>61.756999999999998</v>
      </c>
      <c r="J164" s="519">
        <v>107.398</v>
      </c>
      <c r="K164" s="520"/>
      <c r="L164" s="520">
        <v>44659</v>
      </c>
      <c r="M164" s="529"/>
      <c r="N164" s="529"/>
      <c r="O164" s="529"/>
      <c r="P164" s="395"/>
    </row>
    <row r="165" spans="2:28">
      <c r="B165" s="394" t="s">
        <v>187</v>
      </c>
      <c r="C165" s="63" t="s">
        <v>189</v>
      </c>
      <c r="E165" s="60"/>
      <c r="G165" s="409"/>
      <c r="H165" s="519">
        <v>-146.1</v>
      </c>
      <c r="I165" s="519">
        <v>11.94</v>
      </c>
      <c r="J165" s="519">
        <v>194.99700000000001</v>
      </c>
      <c r="L165" s="520">
        <v>44449</v>
      </c>
      <c r="M165" s="529"/>
      <c r="N165" s="529"/>
      <c r="O165" s="529"/>
      <c r="P165" s="395"/>
    </row>
    <row r="166" spans="2:28">
      <c r="B166" s="394" t="s">
        <v>187</v>
      </c>
      <c r="C166" s="63" t="s">
        <v>190</v>
      </c>
      <c r="E166" s="60"/>
      <c r="G166" s="409"/>
      <c r="H166" s="519">
        <v>-215.09299999999999</v>
      </c>
      <c r="I166" s="519">
        <v>42.368000000000002</v>
      </c>
      <c r="J166" s="519">
        <v>187.74299999999999</v>
      </c>
      <c r="L166" s="520">
        <v>44449</v>
      </c>
      <c r="M166" s="529"/>
      <c r="N166" s="529"/>
      <c r="O166" s="529"/>
      <c r="P166" s="395"/>
    </row>
    <row r="167" spans="2:28">
      <c r="B167" s="394" t="s">
        <v>187</v>
      </c>
      <c r="C167" s="63" t="s">
        <v>191</v>
      </c>
      <c r="E167" s="60"/>
      <c r="G167" s="409">
        <v>57.47</v>
      </c>
      <c r="H167" s="519">
        <v>2751.33</v>
      </c>
      <c r="I167" s="519">
        <v>73.319999999999993</v>
      </c>
      <c r="J167" s="519">
        <v>128.6</v>
      </c>
      <c r="L167" s="66" t="s">
        <v>192</v>
      </c>
      <c r="P167" s="395"/>
    </row>
    <row r="168" spans="2:28">
      <c r="B168" s="394" t="s">
        <v>187</v>
      </c>
      <c r="C168" s="63" t="s">
        <v>193</v>
      </c>
      <c r="E168" s="60"/>
      <c r="G168" s="409">
        <v>63.5</v>
      </c>
      <c r="H168" s="519">
        <f>H167+55</f>
        <v>2806.33</v>
      </c>
      <c r="I168" s="519">
        <f>I167</f>
        <v>73.319999999999993</v>
      </c>
      <c r="J168" s="519">
        <f>J167</f>
        <v>128.6</v>
      </c>
      <c r="L168" s="66"/>
      <c r="P168" s="395"/>
    </row>
    <row r="169" spans="2:28">
      <c r="B169" s="394"/>
      <c r="C169" s="63"/>
      <c r="E169" s="60"/>
      <c r="G169" s="409"/>
      <c r="H169" s="519"/>
      <c r="I169" s="519"/>
      <c r="J169" s="519"/>
      <c r="L169" s="66"/>
      <c r="P169" s="395"/>
    </row>
    <row r="170" spans="2:28">
      <c r="B170" s="394"/>
      <c r="P170" s="395"/>
    </row>
    <row r="171" spans="2:28">
      <c r="B171" s="394"/>
      <c r="P171" s="395"/>
    </row>
    <row r="172" spans="2:28" customFormat="1" ht="19.149999999999999" customHeight="1">
      <c r="B172" s="430" t="s">
        <v>194</v>
      </c>
      <c r="C172" s="37"/>
      <c r="D172" s="37"/>
      <c r="E172" s="37"/>
      <c r="F172" s="37"/>
      <c r="G172" s="37"/>
      <c r="H172" s="37"/>
      <c r="I172" s="37"/>
      <c r="J172" s="37"/>
      <c r="K172" s="188"/>
      <c r="L172" s="37"/>
      <c r="M172" s="38"/>
      <c r="N172" s="38"/>
      <c r="O172" s="38"/>
      <c r="P172" s="395"/>
      <c r="Q172" s="60"/>
      <c r="R172" s="60"/>
      <c r="S172" s="60"/>
      <c r="T172" s="60"/>
      <c r="U172" s="60"/>
      <c r="V172" s="60"/>
      <c r="W172" s="60"/>
      <c r="X172" s="60"/>
      <c r="Y172" s="60"/>
      <c r="Z172" s="60"/>
      <c r="AA172" s="60"/>
      <c r="AB172" s="60"/>
    </row>
    <row r="173" spans="2:28" ht="8.65" customHeight="1">
      <c r="B173" s="394"/>
      <c r="D173" s="61"/>
      <c r="P173" s="395"/>
    </row>
    <row r="174" spans="2:28">
      <c r="B174" s="431" t="s">
        <v>195</v>
      </c>
      <c r="C174" s="432"/>
      <c r="D174" s="61"/>
      <c r="H174" s="433" t="s">
        <v>32</v>
      </c>
      <c r="I174" s="433" t="s">
        <v>33</v>
      </c>
      <c r="J174" s="433" t="s">
        <v>34</v>
      </c>
      <c r="L174" s="67"/>
      <c r="M174" s="526"/>
      <c r="N174" s="526"/>
      <c r="O174" s="526"/>
      <c r="P174" s="395"/>
    </row>
    <row r="175" spans="2:28">
      <c r="B175" s="434"/>
      <c r="C175" s="435" t="s">
        <v>139</v>
      </c>
      <c r="D175" s="61"/>
      <c r="E175" s="60"/>
      <c r="H175" s="426">
        <f>0.47*H33-0.15*H35+0.4*H36</f>
        <v>1397.8</v>
      </c>
      <c r="I175" s="426">
        <v>0</v>
      </c>
      <c r="J175" s="426">
        <f>K175*(J34+0.5*(J63+J74))</f>
        <v>470.92499999999995</v>
      </c>
      <c r="K175" s="382">
        <v>0.35</v>
      </c>
      <c r="L175" s="538" t="s">
        <v>196</v>
      </c>
      <c r="M175" s="530"/>
      <c r="N175" s="530"/>
      <c r="O175" s="530"/>
      <c r="P175" s="395"/>
    </row>
    <row r="176" spans="2:28">
      <c r="B176" s="434"/>
      <c r="C176" s="435" t="s">
        <v>197</v>
      </c>
      <c r="H176" s="426">
        <f>H49-150</f>
        <v>1980</v>
      </c>
      <c r="I176" s="426">
        <v>0</v>
      </c>
      <c r="J176" s="426">
        <f>(J34+(J62+J73)/2)/2-50</f>
        <v>641</v>
      </c>
      <c r="L176" s="538"/>
      <c r="M176" s="530"/>
      <c r="N176" s="530"/>
      <c r="O176" s="530"/>
      <c r="P176" s="395"/>
    </row>
    <row r="177" spans="2:16">
      <c r="B177" s="434"/>
      <c r="C177" s="435" t="s">
        <v>198</v>
      </c>
      <c r="H177" s="426">
        <f>H42-250</f>
        <v>1084</v>
      </c>
      <c r="I177" s="426">
        <v>0</v>
      </c>
      <c r="J177" s="426">
        <f>(J34+(J62+J73)/2)/2-100</f>
        <v>591</v>
      </c>
      <c r="L177" s="538"/>
      <c r="M177" s="530"/>
      <c r="N177" s="530"/>
      <c r="O177" s="530"/>
      <c r="P177" s="395"/>
    </row>
    <row r="178" spans="2:16">
      <c r="B178" s="434"/>
      <c r="C178" s="435" t="s">
        <v>147</v>
      </c>
      <c r="H178" s="426">
        <f>(H42+H49)/2</f>
        <v>1732</v>
      </c>
      <c r="I178" s="426">
        <v>0</v>
      </c>
      <c r="J178" s="426">
        <f>J34+(J63+J74)/2-50</f>
        <v>1295.5</v>
      </c>
      <c r="L178" s="538"/>
      <c r="M178" s="530"/>
      <c r="N178" s="530"/>
      <c r="O178" s="530"/>
      <c r="P178" s="395"/>
    </row>
    <row r="179" spans="2:16">
      <c r="B179" s="434"/>
      <c r="C179" s="435" t="s">
        <v>199</v>
      </c>
      <c r="H179" s="426">
        <f>(-H35+H61+H46)/2</f>
        <v>-193.65</v>
      </c>
      <c r="I179" s="426">
        <v>0</v>
      </c>
      <c r="J179" s="426">
        <f>J46+200</f>
        <v>731.8</v>
      </c>
      <c r="L179" s="538"/>
      <c r="M179" s="530"/>
      <c r="N179" s="530"/>
      <c r="O179" s="530"/>
      <c r="P179" s="395"/>
    </row>
    <row r="180" spans="2:16">
      <c r="B180" s="434"/>
      <c r="C180" s="435" t="s">
        <v>149</v>
      </c>
      <c r="H180" s="426">
        <f>H72+H36/2+100</f>
        <v>3047.5</v>
      </c>
      <c r="I180" s="426">
        <v>0</v>
      </c>
      <c r="J180" s="426">
        <f>J34-4*(J34-H81/2+J72-30)/7</f>
        <v>884.80000000000007</v>
      </c>
      <c r="L180" s="538"/>
      <c r="M180" s="530"/>
      <c r="N180" s="530"/>
      <c r="O180" s="530"/>
      <c r="P180" s="395"/>
    </row>
    <row r="181" spans="2:16">
      <c r="B181" s="394"/>
      <c r="P181" s="395"/>
    </row>
    <row r="182" spans="2:16">
      <c r="B182" s="436"/>
      <c r="C182" s="437"/>
      <c r="D182" s="437"/>
      <c r="E182" s="438"/>
      <c r="F182" s="437"/>
      <c r="G182" s="437"/>
      <c r="H182" s="438"/>
      <c r="I182" s="438"/>
      <c r="J182" s="438"/>
      <c r="K182" s="439"/>
      <c r="L182" s="438"/>
      <c r="M182" s="438"/>
      <c r="N182" s="438"/>
      <c r="O182" s="438"/>
      <c r="P182" s="440"/>
    </row>
  </sheetData>
  <mergeCells count="1">
    <mergeCell ref="L175:L180"/>
  </mergeCells>
  <dataValidations count="1">
    <dataValidation type="list" allowBlank="1" showInputMessage="1" showErrorMessage="1" sqref="G77" xr:uid="{6741EE9F-F350-4E9D-B7D2-DF32D3C420E2}">
      <formula1>"Twisted Beam,Multi Link"</formula1>
    </dataValidation>
  </dataValidations>
  <hyperlinks>
    <hyperlink ref="H134" r:id="rId1" xr:uid="{A3E6787E-CC6F-4482-969C-8F36081AA1A7}"/>
  </hyperlinks>
  <pageMargins left="0.25" right="0.25" top="0.75" bottom="0.75" header="0.3" footer="0.3"/>
  <pageSetup paperSize="9" scale="51" orientation="landscape" r:id="rId2"/>
  <headerFooter alignWithMargins="0"/>
  <drawing r:id="rId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13">
    <tabColor rgb="FFFFFF99"/>
    <outlinePr summaryBelow="0"/>
  </sheetPr>
  <dimension ref="B1:AO292"/>
  <sheetViews>
    <sheetView showGridLines="0" zoomScale="95" zoomScaleNormal="70" workbookViewId="0">
      <pane ySplit="5" topLeftCell="A6" activePane="bottomLeft" state="frozenSplit"/>
      <selection pane="bottomLeft" activeCell="E24" sqref="E24"/>
      <selection activeCell="H27" sqref="H27"/>
    </sheetView>
  </sheetViews>
  <sheetFormatPr defaultColWidth="9.28515625" defaultRowHeight="15" customHeight="1" outlineLevelRow="3" outlineLevelCol="1"/>
  <cols>
    <col min="1" max="1" width="2.140625" customWidth="1"/>
    <col min="2" max="2" width="23" customWidth="1"/>
    <col min="3" max="3" width="12" customWidth="1" outlineLevel="1"/>
    <col min="4" max="4" width="22.42578125" customWidth="1" outlineLevel="1"/>
    <col min="5" max="5" width="9" customWidth="1"/>
    <col min="6" max="6" width="18.7109375" customWidth="1" outlineLevel="1"/>
    <col min="7" max="7" width="9.5703125" customWidth="1" outlineLevel="1"/>
    <col min="8" max="8" width="17.7109375" customWidth="1" outlineLevel="1"/>
    <col min="9" max="9" width="6.85546875" customWidth="1"/>
    <col min="10" max="10" width="2.140625" customWidth="1"/>
    <col min="11" max="11" width="7.7109375" customWidth="1"/>
    <col min="12" max="12" width="12.7109375" style="2" customWidth="1"/>
    <col min="13" max="13" width="9.7109375" style="2" customWidth="1"/>
    <col min="14" max="14" width="1" customWidth="1"/>
    <col min="15" max="15" width="12.28515625" style="2" customWidth="1" outlineLevel="1"/>
    <col min="16" max="16" width="10.28515625" style="2" customWidth="1" outlineLevel="1"/>
    <col min="17" max="18" width="12.28515625" style="2" customWidth="1" outlineLevel="1"/>
    <col min="19" max="19" width="13.7109375" style="2" customWidth="1" outlineLevel="1"/>
    <col min="20" max="20" width="12.42578125" style="3" customWidth="1" outlineLevel="1"/>
    <col min="21" max="21" width="12.28515625" style="3" customWidth="1" outlineLevel="1"/>
    <col min="22" max="22" width="6.140625" bestFit="1" customWidth="1"/>
    <col min="23" max="24" width="5.7109375" customWidth="1"/>
    <col min="25" max="25" width="9.28515625" customWidth="1"/>
    <col min="26" max="26" width="15.28515625" style="2" customWidth="1"/>
    <col min="27" max="27" width="22.28515625" style="36" customWidth="1"/>
    <col min="28" max="30" width="22.28515625" style="36" customWidth="1" outlineLevel="1"/>
    <col min="31" max="31" width="53.5703125" style="36" customWidth="1"/>
    <col min="32" max="32" width="22.28515625" style="36" customWidth="1"/>
    <col min="33" max="33" width="9.140625" customWidth="1"/>
    <col min="34" max="34" width="9.28515625" customWidth="1" outlineLevel="1"/>
    <col min="35" max="35" width="47.5703125" customWidth="1" outlineLevel="1"/>
    <col min="36" max="37" width="9" customWidth="1"/>
    <col min="38" max="39" width="9.28515625" customWidth="1" outlineLevel="1"/>
    <col min="40" max="40" width="11.28515625" customWidth="1"/>
  </cols>
  <sheetData>
    <row r="1" spans="2:41" s="228" customFormat="1" ht="4.1500000000000004" customHeight="1">
      <c r="AE1" s="506"/>
    </row>
    <row r="2" spans="2:41" s="302" customFormat="1" ht="21">
      <c r="B2" s="344"/>
      <c r="C2" s="343"/>
      <c r="D2" s="346" t="s">
        <v>200</v>
      </c>
      <c r="E2" s="347" t="str">
        <f>'INPUT1 - Veh Geometry'!H8</f>
        <v>STLA-S</v>
      </c>
      <c r="F2" s="342"/>
      <c r="G2" s="343"/>
      <c r="H2" s="343" t="s">
        <v>201</v>
      </c>
      <c r="I2" s="348" t="str">
        <f>'INPUT1 - Veh Geometry'!I8</f>
        <v>J1X MHEV P2 FWD</v>
      </c>
      <c r="J2" s="343"/>
      <c r="K2" s="343"/>
      <c r="L2" s="539" t="s">
        <v>202</v>
      </c>
      <c r="M2" s="539"/>
      <c r="N2" s="343"/>
      <c r="O2" s="349" t="str">
        <f>'INPUT1 - Veh Geometry'!J8</f>
        <v>L2</v>
      </c>
      <c r="P2" s="343"/>
      <c r="Q2" s="343"/>
      <c r="R2" s="343"/>
      <c r="S2" s="343"/>
      <c r="T2" s="343"/>
      <c r="U2" s="345"/>
      <c r="AE2" s="507"/>
    </row>
    <row r="3" spans="2:41" ht="7.5" customHeight="1" thickBot="1">
      <c r="L3"/>
      <c r="Q3" s="5"/>
      <c r="R3" s="5"/>
      <c r="S3" s="5"/>
      <c r="T3" s="6"/>
      <c r="U3" s="6"/>
    </row>
    <row r="4" spans="2:41" ht="43.5" customHeight="1">
      <c r="B4" s="540" t="s">
        <v>203</v>
      </c>
      <c r="C4" s="541"/>
      <c r="D4" s="541"/>
      <c r="E4" s="541"/>
      <c r="F4" s="541"/>
      <c r="G4" s="541"/>
      <c r="H4" s="541"/>
      <c r="I4" s="542"/>
      <c r="K4" s="458"/>
      <c r="L4" s="459" t="s">
        <v>204</v>
      </c>
      <c r="M4" s="201"/>
      <c r="O4" s="458" t="s">
        <v>153</v>
      </c>
      <c r="P4" s="459" t="s">
        <v>154</v>
      </c>
      <c r="Q4" s="239" t="s">
        <v>205</v>
      </c>
      <c r="R4" s="239" t="s">
        <v>206</v>
      </c>
      <c r="S4" s="239" t="s">
        <v>207</v>
      </c>
      <c r="T4" s="459" t="s">
        <v>208</v>
      </c>
      <c r="U4" s="460" t="s">
        <v>209</v>
      </c>
      <c r="AI4" s="3"/>
      <c r="AJ4" s="3"/>
      <c r="AK4" s="3"/>
    </row>
    <row r="5" spans="2:41" ht="27" customHeight="1" thickBot="1">
      <c r="B5" s="543"/>
      <c r="C5" s="544"/>
      <c r="D5" s="544"/>
      <c r="E5" s="544"/>
      <c r="F5" s="544"/>
      <c r="G5" s="544"/>
      <c r="H5" s="544"/>
      <c r="I5" s="545"/>
      <c r="K5" s="43" t="s">
        <v>210</v>
      </c>
      <c r="L5" s="337">
        <f>SUMPRODUCT(L6:L252,K6:K252)</f>
        <v>1456.289</v>
      </c>
      <c r="M5" s="197" t="s">
        <v>211</v>
      </c>
      <c r="O5" s="512">
        <f>SUMPRODUCT(O6:O252,K6:K252,L6:L252)/$L$5</f>
        <v>998.48486346688958</v>
      </c>
      <c r="P5" s="193">
        <f>SUMPRODUCT(P6:P252,K6:K252,L6:L252)/$L$5</f>
        <v>-21.573202754856126</v>
      </c>
      <c r="Q5" s="193">
        <f>SUMPRODUCT(Q6:Q252,$K6:$K252,$L6:$L252)/$L$5</f>
        <v>261.01732369055867</v>
      </c>
      <c r="R5" s="193">
        <f>SUMPRODUCT(R6:R252,$K6:$K252,$L6:$L252)/$L$5</f>
        <v>256.80368821023848</v>
      </c>
      <c r="S5" s="193">
        <f>SUMPRODUCT(S6:S252,$K6:$K252,$L6:$L252)/$L$5</f>
        <v>262.96105944630511</v>
      </c>
      <c r="T5" s="193">
        <f>SUMIF($K6:$K252,"&gt;0",T6:T252)</f>
        <v>882.05611900252541</v>
      </c>
      <c r="U5" s="358">
        <f>SUMIF($K6:$K252,"&gt;0",U6:U252)</f>
        <v>574.23288099747458</v>
      </c>
      <c r="V5" s="537">
        <f>T5/L5</f>
        <v>0.60568755171708732</v>
      </c>
      <c r="Y5" s="502"/>
      <c r="Z5" s="1" t="s">
        <v>212</v>
      </c>
      <c r="AA5" s="1" t="s">
        <v>213</v>
      </c>
      <c r="AB5" s="1" t="s">
        <v>214</v>
      </c>
      <c r="AC5" s="1" t="s">
        <v>215</v>
      </c>
      <c r="AD5" s="1" t="s">
        <v>216</v>
      </c>
      <c r="AE5" s="1" t="s">
        <v>217</v>
      </c>
      <c r="AF5" s="1" t="s">
        <v>218</v>
      </c>
      <c r="AJ5" s="54" t="s">
        <v>219</v>
      </c>
      <c r="AK5" s="54"/>
      <c r="AN5" s="54" t="s">
        <v>220</v>
      </c>
      <c r="AO5" s="2"/>
    </row>
    <row r="6" spans="2:41" ht="15" customHeight="1">
      <c r="B6" s="24" t="s">
        <v>221</v>
      </c>
      <c r="C6" s="25"/>
      <c r="D6" s="25"/>
      <c r="E6" s="25"/>
      <c r="F6" s="25" t="s">
        <v>222</v>
      </c>
      <c r="G6" s="25"/>
      <c r="H6" s="25"/>
      <c r="I6" s="26"/>
      <c r="K6" s="53"/>
      <c r="L6" s="46">
        <f>SUMPRODUCT($K7:$K30,$L7:$L30)</f>
        <v>124.60000000000001</v>
      </c>
      <c r="M6" s="44"/>
      <c r="O6" s="445">
        <f>SUMPRODUCT($K7:$K30,$L7:$L30,O7:O30)/$L6</f>
        <v>923.00462279293731</v>
      </c>
      <c r="P6" s="45">
        <f>SUMPRODUCT($K7:$K30,$L7:$L30,P7:P30)/$L6</f>
        <v>-60.187961476725519</v>
      </c>
      <c r="Q6" s="45">
        <f>SUMPRODUCT($K7:$K30,$L7:$L30,Q7:Q30)/$L6</f>
        <v>80.768186195826644</v>
      </c>
      <c r="R6" s="45">
        <f>SUMPRODUCT($K7:$K30,$L7:$L30,R7:R30)/$L6</f>
        <v>80.768186195826644</v>
      </c>
      <c r="S6" s="45">
        <f>SUMPRODUCT($K7:$K30,$L7:$L30,S7:S30)/$L6</f>
        <v>80.768186195826644</v>
      </c>
      <c r="T6" s="46">
        <f>SUM(T7:T30)</f>
        <v>79.031107575757574</v>
      </c>
      <c r="U6" s="44">
        <f>SUMIF($K7:$K30,"&gt;0",$U7:$U30)</f>
        <v>45.568892424242421</v>
      </c>
      <c r="V6" s="3"/>
      <c r="W6" s="3"/>
      <c r="X6" s="3"/>
      <c r="Y6" s="503">
        <f>IF(ISNUMBER(K6),L6*K6,0)</f>
        <v>0</v>
      </c>
      <c r="Z6" s="1" t="s">
        <v>223</v>
      </c>
      <c r="AA6" s="504"/>
      <c r="AB6" s="504" t="str">
        <f>IF(B6&lt;&gt;0,B6,AB5)</f>
        <v>ADAPTATION</v>
      </c>
      <c r="AC6" s="504"/>
      <c r="AD6" s="504" t="str">
        <f>IF(D6&lt;&gt;"",D6,"")</f>
        <v/>
      </c>
      <c r="AE6" s="504" t="str">
        <f>CONCATENATE(AB6," / ",AC6,"  / ",AD6)</f>
        <v xml:space="preserve">ADAPTATION /   / </v>
      </c>
      <c r="AF6" s="504"/>
    </row>
    <row r="7" spans="2:41" ht="15" customHeight="1" outlineLevel="1">
      <c r="B7" s="47"/>
      <c r="C7" s="35" t="s">
        <v>224</v>
      </c>
      <c r="D7" s="35"/>
      <c r="E7" s="35"/>
      <c r="F7" s="35" t="s">
        <v>225</v>
      </c>
      <c r="G7" s="35"/>
      <c r="H7" s="35"/>
      <c r="I7" s="102"/>
      <c r="K7" s="42"/>
      <c r="L7" s="106"/>
      <c r="M7" s="202"/>
      <c r="O7" s="446">
        <f>'INPUT1 - Veh Geometry'!$H$106</f>
        <v>1944</v>
      </c>
      <c r="P7" s="10">
        <f>'INPUT1 - Veh Geometry'!$I$106</f>
        <v>42</v>
      </c>
      <c r="Q7" s="10">
        <f>'INPUT1 - Veh Geometry'!$J$106</f>
        <v>33</v>
      </c>
      <c r="R7" s="10">
        <f>$Q7</f>
        <v>33</v>
      </c>
      <c r="S7" s="10">
        <f>$Q7</f>
        <v>33</v>
      </c>
      <c r="T7" s="7">
        <f>L7*K7-U7</f>
        <v>0</v>
      </c>
      <c r="U7" s="48">
        <f>IF(ISNUMBER(K7),L7*K7*(O7-$D$262)/E,)</f>
        <v>0</v>
      </c>
      <c r="V7" s="3"/>
      <c r="W7" s="3"/>
      <c r="X7" s="3"/>
      <c r="Y7" s="503">
        <f>IF(ISNUMBER(K7),L7*K7,0)</f>
        <v>0</v>
      </c>
      <c r="Z7" s="1" t="s">
        <v>223</v>
      </c>
      <c r="AA7" s="504"/>
      <c r="AB7" s="504" t="str">
        <f t="shared" ref="AB7:AB39" si="0">IF(B7&lt;&gt;0,B7,AB6)</f>
        <v>ADAPTATION</v>
      </c>
      <c r="AC7" s="504" t="str">
        <f>IF(C7&lt;&gt;0,C7,AC6)</f>
        <v>ADDBLUE (+ reservoir)</v>
      </c>
      <c r="AD7" s="504" t="str">
        <f t="shared" ref="AD7" si="1">IF(D7&lt;&gt;"",D7,"")</f>
        <v/>
      </c>
      <c r="AE7" s="504" t="str">
        <f>CONCATENATE(AB7," / ",AC7,"  / ",AD7)</f>
        <v xml:space="preserve">ADAPTATION / ADDBLUE (+ reservoir)  / </v>
      </c>
      <c r="AF7" s="504"/>
      <c r="AO7" s="2"/>
    </row>
    <row r="8" spans="2:41" ht="15" customHeight="1" outlineLevel="1">
      <c r="B8" s="12"/>
      <c r="C8" s="11" t="s">
        <v>226</v>
      </c>
      <c r="D8" s="11"/>
      <c r="E8" s="11"/>
      <c r="F8" s="11"/>
      <c r="G8" s="11"/>
      <c r="H8" s="11"/>
      <c r="I8" s="27"/>
      <c r="K8" s="42"/>
      <c r="L8" s="106"/>
      <c r="M8" s="202"/>
      <c r="O8" s="447"/>
      <c r="P8" s="16"/>
      <c r="Q8" s="16"/>
      <c r="R8" s="16"/>
      <c r="S8" s="16"/>
      <c r="T8" s="16"/>
      <c r="U8" s="49"/>
      <c r="V8" s="3"/>
      <c r="W8" s="3"/>
      <c r="X8" s="3"/>
      <c r="Y8" s="503">
        <f t="shared" ref="Y8" si="2">IF(ISNUMBER(K8),L8*K8,0)</f>
        <v>0</v>
      </c>
      <c r="Z8" s="1" t="s">
        <v>223</v>
      </c>
      <c r="AA8" s="504"/>
      <c r="AB8" s="504" t="str">
        <f t="shared" si="0"/>
        <v>ADAPTATION</v>
      </c>
      <c r="AC8" s="504" t="str">
        <f t="shared" ref="AC8:AC70" si="3">IF(C8&lt;&gt;0,C8,AC7)</f>
        <v>CIRCUIT CARBURANT</v>
      </c>
      <c r="AD8" s="504" t="str">
        <f t="shared" ref="AD8:AD70" si="4">IF(D8&lt;&gt;"",D8,"")</f>
        <v/>
      </c>
      <c r="AE8" s="504" t="str">
        <f t="shared" ref="AE8:AE70" si="5">CONCATENATE(AB8," / ",AC8,"  / ",AD8)</f>
        <v xml:space="preserve">ADAPTATION / CIRCUIT CARBURANT  / </v>
      </c>
      <c r="AF8" s="504"/>
    </row>
    <row r="9" spans="2:41" ht="15" customHeight="1" outlineLevel="1">
      <c r="B9" s="12"/>
      <c r="C9" s="11" t="s">
        <v>227</v>
      </c>
      <c r="D9" s="11"/>
      <c r="E9" s="11"/>
      <c r="F9" s="11" t="s">
        <v>228</v>
      </c>
      <c r="G9" s="11"/>
      <c r="H9" s="11"/>
      <c r="I9" s="27"/>
      <c r="K9" s="42"/>
      <c r="L9" s="106"/>
      <c r="M9" s="202"/>
      <c r="O9" s="447"/>
      <c r="P9" s="16"/>
      <c r="Q9" s="16"/>
      <c r="R9" s="16"/>
      <c r="S9" s="16"/>
      <c r="T9" s="16"/>
      <c r="U9" s="49"/>
      <c r="V9" s="3"/>
      <c r="W9" s="3"/>
      <c r="X9" s="3"/>
      <c r="Y9" s="503">
        <f t="shared" ref="Y9:Y22" si="6">IF(ISNUMBER(K9),L9*K9,0)</f>
        <v>0</v>
      </c>
      <c r="Z9" s="1" t="s">
        <v>223</v>
      </c>
      <c r="AA9" s="504"/>
      <c r="AB9" s="504" t="str">
        <f t="shared" si="0"/>
        <v>ADAPTATION</v>
      </c>
      <c r="AC9" s="504" t="str">
        <f t="shared" si="3"/>
        <v>CIRCUIT AIR</v>
      </c>
      <c r="AD9" s="504" t="str">
        <f t="shared" si="4"/>
        <v/>
      </c>
      <c r="AE9" s="504" t="str">
        <f t="shared" si="5"/>
        <v xml:space="preserve">ADAPTATION / CIRCUIT AIR  / </v>
      </c>
      <c r="AF9" s="504"/>
    </row>
    <row r="10" spans="2:41" ht="15" customHeight="1" outlineLevel="2">
      <c r="B10" s="15"/>
      <c r="C10" s="14"/>
      <c r="D10" s="14" t="s">
        <v>229</v>
      </c>
      <c r="E10" s="14"/>
      <c r="F10" s="14"/>
      <c r="G10" s="14" t="s">
        <v>230</v>
      </c>
      <c r="H10" s="14"/>
      <c r="I10" s="28"/>
      <c r="K10" s="42"/>
      <c r="L10" s="106"/>
      <c r="M10" s="202"/>
      <c r="O10" s="446">
        <f>'INPUT1 - Veh Geometry'!H$87</f>
        <v>-241.5</v>
      </c>
      <c r="P10" s="10">
        <f>'INPUT1 - Veh Geometry'!I$87</f>
        <v>-48</v>
      </c>
      <c r="Q10" s="10">
        <f>'INPUT1 - Veh Geometry'!J$87</f>
        <v>144.4</v>
      </c>
      <c r="R10" s="10">
        <f>$Q10</f>
        <v>144.4</v>
      </c>
      <c r="S10" s="10">
        <f>$Q10</f>
        <v>144.4</v>
      </c>
      <c r="T10" s="7">
        <f t="shared" ref="T10:T12" si="7">L10*K10-U10</f>
        <v>0</v>
      </c>
      <c r="U10" s="48">
        <f>IF(ISNUMBER(K10),L10*K10*(O10-$D$262)/E,)</f>
        <v>0</v>
      </c>
      <c r="V10" s="3"/>
      <c r="W10" s="3"/>
      <c r="X10" s="3"/>
      <c r="Y10" s="503">
        <f t="shared" si="6"/>
        <v>0</v>
      </c>
      <c r="Z10" s="1" t="s">
        <v>223</v>
      </c>
      <c r="AA10" s="504" t="s">
        <v>231</v>
      </c>
      <c r="AB10" s="504" t="str">
        <f t="shared" si="0"/>
        <v>ADAPTATION</v>
      </c>
      <c r="AC10" s="504" t="str">
        <f t="shared" si="3"/>
        <v>CIRCUIT AIR</v>
      </c>
      <c r="AD10" s="504" t="str">
        <f t="shared" si="4"/>
        <v>Filtre</v>
      </c>
      <c r="AE10" s="504" t="str">
        <f t="shared" si="5"/>
        <v>ADAPTATION / CIRCUIT AIR  / Filtre</v>
      </c>
      <c r="AF10" s="504"/>
      <c r="AH10" t="s">
        <v>232</v>
      </c>
      <c r="AL10" t="s">
        <v>233</v>
      </c>
    </row>
    <row r="11" spans="2:41" ht="15" customHeight="1" outlineLevel="2">
      <c r="B11" s="15"/>
      <c r="C11" s="14"/>
      <c r="D11" s="14" t="s">
        <v>234</v>
      </c>
      <c r="E11" s="14"/>
      <c r="F11" s="14"/>
      <c r="G11" s="14" t="s">
        <v>235</v>
      </c>
      <c r="H11" s="14"/>
      <c r="I11" s="28"/>
      <c r="K11" s="42">
        <v>1</v>
      </c>
      <c r="L11" s="106">
        <v>6.8</v>
      </c>
      <c r="M11" s="202"/>
      <c r="O11" s="446">
        <f>'INPUT1 - Veh Geometry'!H$87</f>
        <v>-241.5</v>
      </c>
      <c r="P11" s="10">
        <f>'INPUT1 - Veh Geometry'!I$87</f>
        <v>-48</v>
      </c>
      <c r="Q11" s="10">
        <f>'INPUT1 - Veh Geometry'!J$87</f>
        <v>144.4</v>
      </c>
      <c r="R11" s="10">
        <f t="shared" ref="R11:S12" si="8">$Q11</f>
        <v>144.4</v>
      </c>
      <c r="S11" s="10">
        <f t="shared" si="8"/>
        <v>144.4</v>
      </c>
      <c r="T11" s="7">
        <f t="shared" si="7"/>
        <v>7.3125757575757575</v>
      </c>
      <c r="U11" s="48">
        <f>IF(ISNUMBER(K11),L11*K11*(O11-$D$262)/E,)</f>
        <v>-0.51257575757575757</v>
      </c>
      <c r="V11" s="3"/>
      <c r="W11" s="3"/>
      <c r="X11" s="3"/>
      <c r="Y11" s="503">
        <f t="shared" si="6"/>
        <v>6.8</v>
      </c>
      <c r="Z11" s="1" t="s">
        <v>223</v>
      </c>
      <c r="AA11" s="504" t="s">
        <v>231</v>
      </c>
      <c r="AB11" s="504" t="str">
        <f t="shared" si="0"/>
        <v>ADAPTATION</v>
      </c>
      <c r="AC11" s="504" t="str">
        <f t="shared" si="3"/>
        <v>CIRCUIT AIR</v>
      </c>
      <c r="AD11" s="504" t="str">
        <f t="shared" si="4"/>
        <v>Durites</v>
      </c>
      <c r="AE11" s="504" t="str">
        <f t="shared" si="5"/>
        <v>ADAPTATION / CIRCUIT AIR  / Durites</v>
      </c>
      <c r="AF11" s="504"/>
    </row>
    <row r="12" spans="2:41" ht="15" customHeight="1" outlineLevel="2">
      <c r="B12" s="15"/>
      <c r="C12" s="14"/>
      <c r="D12" s="14" t="s">
        <v>236</v>
      </c>
      <c r="E12" s="14"/>
      <c r="F12" s="14"/>
      <c r="G12" s="14" t="s">
        <v>237</v>
      </c>
      <c r="H12" s="14"/>
      <c r="I12" s="28"/>
      <c r="K12" s="42"/>
      <c r="L12" s="106"/>
      <c r="M12" s="202"/>
      <c r="O12" s="446">
        <f>'INPUT1 - Veh Geometry'!$H$115</f>
        <v>-634.6</v>
      </c>
      <c r="P12" s="10">
        <f>'INPUT1 - Veh Geometry'!$I$115</f>
        <v>-188</v>
      </c>
      <c r="Q12" s="10">
        <f>'INPUT1 - Veh Geometry'!$J$115</f>
        <v>191</v>
      </c>
      <c r="R12" s="10">
        <f t="shared" si="8"/>
        <v>191</v>
      </c>
      <c r="S12" s="10">
        <f t="shared" si="8"/>
        <v>191</v>
      </c>
      <c r="T12" s="7">
        <f t="shared" si="7"/>
        <v>0</v>
      </c>
      <c r="U12" s="48">
        <f>IF(ISNUMBER(K12),L12*K12*(O12-$D$262)/E,)</f>
        <v>0</v>
      </c>
      <c r="V12" s="3"/>
      <c r="W12" s="3"/>
      <c r="X12" s="3"/>
      <c r="Y12" s="503">
        <f t="shared" si="6"/>
        <v>0</v>
      </c>
      <c r="Z12" s="1" t="s">
        <v>223</v>
      </c>
      <c r="AA12" s="504" t="s">
        <v>238</v>
      </c>
      <c r="AB12" s="504" t="str">
        <f t="shared" si="0"/>
        <v>ADAPTATION</v>
      </c>
      <c r="AC12" s="504" t="str">
        <f t="shared" si="3"/>
        <v>CIRCUIT AIR</v>
      </c>
      <c r="AD12" s="504" t="str">
        <f t="shared" si="4"/>
        <v>RAS</v>
      </c>
      <c r="AE12" s="504" t="str">
        <f t="shared" si="5"/>
        <v>ADAPTATION / CIRCUIT AIR  / RAS</v>
      </c>
      <c r="AF12" s="504"/>
      <c r="AH12" t="s">
        <v>239</v>
      </c>
      <c r="AL12" t="s">
        <v>240</v>
      </c>
    </row>
    <row r="13" spans="2:41" ht="15" customHeight="1" outlineLevel="1">
      <c r="B13" s="12"/>
      <c r="C13" s="11" t="s">
        <v>241</v>
      </c>
      <c r="D13" s="11"/>
      <c r="E13" s="11"/>
      <c r="F13" s="11" t="s">
        <v>242</v>
      </c>
      <c r="G13" s="11"/>
      <c r="H13" s="11"/>
      <c r="I13" s="27"/>
      <c r="K13" s="42"/>
      <c r="L13" s="106"/>
      <c r="M13" s="202"/>
      <c r="O13" s="447"/>
      <c r="P13" s="16"/>
      <c r="Q13" s="16"/>
      <c r="R13" s="16"/>
      <c r="S13" s="16"/>
      <c r="T13" s="16"/>
      <c r="U13" s="49"/>
      <c r="V13" s="3"/>
      <c r="W13" s="3"/>
      <c r="X13" s="3"/>
      <c r="Y13" s="503">
        <f t="shared" si="6"/>
        <v>0</v>
      </c>
      <c r="Z13" s="1" t="s">
        <v>223</v>
      </c>
      <c r="AA13" s="504"/>
      <c r="AB13" s="504" t="str">
        <f t="shared" si="0"/>
        <v>ADAPTATION</v>
      </c>
      <c r="AC13" s="504" t="str">
        <f t="shared" si="3"/>
        <v>CIRCUIT EAU</v>
      </c>
      <c r="AD13" s="504" t="str">
        <f t="shared" si="4"/>
        <v/>
      </c>
      <c r="AE13" s="504" t="str">
        <f t="shared" si="5"/>
        <v xml:space="preserve">ADAPTATION / CIRCUIT EAU  / </v>
      </c>
      <c r="AF13" s="504"/>
      <c r="AO13" s="2"/>
    </row>
    <row r="14" spans="2:41" ht="15" customHeight="1" outlineLevel="2">
      <c r="B14" s="15"/>
      <c r="C14" s="14"/>
      <c r="D14" s="14" t="s">
        <v>243</v>
      </c>
      <c r="E14" s="14"/>
      <c r="F14" s="14"/>
      <c r="G14" s="14" t="s">
        <v>244</v>
      </c>
      <c r="H14" s="14"/>
      <c r="I14" s="28"/>
      <c r="K14" s="42"/>
      <c r="L14" s="106"/>
      <c r="M14" s="202"/>
      <c r="O14" s="446">
        <f>'INPUT1 - Veh Geometry'!$H$115</f>
        <v>-634.6</v>
      </c>
      <c r="P14" s="10">
        <f>'INPUT1 - Veh Geometry'!$I$115</f>
        <v>-188</v>
      </c>
      <c r="Q14" s="10">
        <f>'INPUT1 - Veh Geometry'!$J$115</f>
        <v>191</v>
      </c>
      <c r="R14" s="10">
        <f t="shared" ref="R14:S32" si="9">$Q14</f>
        <v>191</v>
      </c>
      <c r="S14" s="10">
        <f t="shared" si="9"/>
        <v>191</v>
      </c>
      <c r="T14" s="7">
        <f t="shared" ref="T14:T30" si="10">L14*K14-U14</f>
        <v>0</v>
      </c>
      <c r="U14" s="48">
        <f t="shared" ref="U14:U30" si="11">IF(ISNUMBER(K14),L14*K14*(O14-$D$262)/E,)</f>
        <v>0</v>
      </c>
      <c r="V14" s="3"/>
      <c r="W14" s="3"/>
      <c r="X14" s="3"/>
      <c r="Y14" s="503">
        <f t="shared" si="6"/>
        <v>0</v>
      </c>
      <c r="Z14" s="1" t="s">
        <v>223</v>
      </c>
      <c r="AA14" s="504" t="s">
        <v>238</v>
      </c>
      <c r="AB14" s="504" t="str">
        <f t="shared" si="0"/>
        <v>ADAPTATION</v>
      </c>
      <c r="AC14" s="504" t="str">
        <f t="shared" si="3"/>
        <v>CIRCUIT EAU</v>
      </c>
      <c r="AD14" s="504" t="str">
        <f t="shared" si="4"/>
        <v>Système radiateur</v>
      </c>
      <c r="AE14" s="504" t="str">
        <f t="shared" si="5"/>
        <v>ADAPTATION / CIRCUIT EAU  / Système radiateur</v>
      </c>
      <c r="AF14" s="504"/>
      <c r="AH14" t="s">
        <v>245</v>
      </c>
      <c r="AL14" t="s">
        <v>246</v>
      </c>
    </row>
    <row r="15" spans="2:41" ht="15" customHeight="1" outlineLevel="2">
      <c r="B15" s="15"/>
      <c r="C15" s="14"/>
      <c r="D15" s="14" t="s">
        <v>234</v>
      </c>
      <c r="E15" s="14"/>
      <c r="F15" s="14"/>
      <c r="G15" s="14" t="s">
        <v>247</v>
      </c>
      <c r="H15" s="14"/>
      <c r="I15" s="28"/>
      <c r="K15" s="42"/>
      <c r="L15" s="106"/>
      <c r="M15" s="202"/>
      <c r="O15" s="446">
        <f>('INPUT1 - Veh Geometry'!$H$116+'INPUT1 - Veh Geometry'!$H$93+'INPUT1 - Veh Geometry'!$H$87+'INPUT1 - Veh Geometry'!$H$90+'INPUT1 - Veh Geometry'!$H$98)/5</f>
        <v>105.17999999999999</v>
      </c>
      <c r="P15" s="10">
        <f>('INPUT1 - Veh Geometry'!$I$116+'INPUT1 - Veh Geometry'!$I$93+'INPUT1 - Veh Geometry'!$I$87+'INPUT1 - Veh Geometry'!$I$90+'INPUT1 - Veh Geometry'!$I$98)/5</f>
        <v>70.400000000000006</v>
      </c>
      <c r="Q15" s="10">
        <f>('INPUT1 - Veh Geometry'!$J$116+'INPUT1 - Veh Geometry'!$J$93+'INPUT1 - Veh Geometry'!$J$87+'INPUT1 - Veh Geometry'!$J$90+'INPUT1 - Veh Geometry'!$J$98)/5</f>
        <v>158.18</v>
      </c>
      <c r="R15" s="10">
        <f t="shared" si="9"/>
        <v>158.18</v>
      </c>
      <c r="S15" s="10">
        <f t="shared" si="9"/>
        <v>158.18</v>
      </c>
      <c r="T15" s="7">
        <f t="shared" si="10"/>
        <v>0</v>
      </c>
      <c r="U15" s="48">
        <f t="shared" si="11"/>
        <v>0</v>
      </c>
      <c r="V15" s="3"/>
      <c r="W15" s="3"/>
      <c r="X15" s="3"/>
      <c r="Y15" s="503">
        <f t="shared" si="6"/>
        <v>0</v>
      </c>
      <c r="Z15" s="1" t="s">
        <v>223</v>
      </c>
      <c r="AA15" s="504" t="s">
        <v>238</v>
      </c>
      <c r="AB15" s="504" t="str">
        <f t="shared" si="0"/>
        <v>ADAPTATION</v>
      </c>
      <c r="AC15" s="504" t="str">
        <f t="shared" si="3"/>
        <v>CIRCUIT EAU</v>
      </c>
      <c r="AD15" s="504" t="str">
        <f t="shared" si="4"/>
        <v>Durites</v>
      </c>
      <c r="AE15" s="504" t="str">
        <f t="shared" si="5"/>
        <v>ADAPTATION / CIRCUIT EAU  / Durites</v>
      </c>
      <c r="AF15" s="504"/>
      <c r="AH15" t="s">
        <v>248</v>
      </c>
      <c r="AL15" t="s">
        <v>249</v>
      </c>
      <c r="AO15" s="2"/>
    </row>
    <row r="16" spans="2:41" ht="15" customHeight="1" outlineLevel="1">
      <c r="B16" s="15"/>
      <c r="C16" s="14"/>
      <c r="D16" s="14" t="s">
        <v>250</v>
      </c>
      <c r="E16" s="14"/>
      <c r="F16" s="14"/>
      <c r="G16" s="14" t="s">
        <v>251</v>
      </c>
      <c r="H16" s="14"/>
      <c r="I16" s="28"/>
      <c r="K16" s="42">
        <v>1</v>
      </c>
      <c r="L16" s="106">
        <v>20.7</v>
      </c>
      <c r="M16" s="202"/>
      <c r="O16" s="446">
        <f>('INPUT1 - Veh Geometry'!$H$116+'INPUT1 - Veh Geometry'!$H$93+'INPUT1 - Veh Geometry'!$H$87+'INPUT1 - Veh Geometry'!$H$90+'INPUT1 - Veh Geometry'!$H$98)/5</f>
        <v>105.17999999999999</v>
      </c>
      <c r="P16" s="10">
        <f>('INPUT1 - Veh Geometry'!$I$116+'INPUT1 - Veh Geometry'!$I$93+'INPUT1 - Veh Geometry'!$I$87+'INPUT1 - Veh Geometry'!$I$90+'INPUT1 - Veh Geometry'!$I$98)/5</f>
        <v>70.400000000000006</v>
      </c>
      <c r="Q16" s="10">
        <f>('INPUT1 - Veh Geometry'!$J$116+'INPUT1 - Veh Geometry'!$J$93+'INPUT1 - Veh Geometry'!$J$87+'INPUT1 - Veh Geometry'!$J$90+'INPUT1 - Veh Geometry'!$J$98)/5</f>
        <v>158.18</v>
      </c>
      <c r="R16" s="10">
        <f t="shared" si="9"/>
        <v>158.18</v>
      </c>
      <c r="S16" s="10">
        <f t="shared" si="9"/>
        <v>158.18</v>
      </c>
      <c r="T16" s="7">
        <f t="shared" si="10"/>
        <v>19.542054545454544</v>
      </c>
      <c r="U16" s="48">
        <f t="shared" si="11"/>
        <v>1.1579454545454546</v>
      </c>
      <c r="V16" s="3"/>
      <c r="W16" s="3"/>
      <c r="X16" s="3"/>
      <c r="Y16" s="503">
        <f t="shared" si="6"/>
        <v>20.7</v>
      </c>
      <c r="Z16" s="1" t="s">
        <v>223</v>
      </c>
      <c r="AA16" s="504" t="s">
        <v>252</v>
      </c>
      <c r="AB16" s="504" t="str">
        <f t="shared" si="0"/>
        <v>ADAPTATION</v>
      </c>
      <c r="AC16" s="504" t="str">
        <f t="shared" si="3"/>
        <v>CIRCUIT EAU</v>
      </c>
      <c r="AD16" s="504" t="str">
        <f t="shared" si="4"/>
        <v>Liquide de refroidissement</v>
      </c>
      <c r="AE16" s="504" t="str">
        <f t="shared" si="5"/>
        <v>ADAPTATION / CIRCUIT EAU  / Liquide de refroidissement</v>
      </c>
      <c r="AF16" s="504"/>
      <c r="AH16" t="s">
        <v>253</v>
      </c>
      <c r="AL16" t="s">
        <v>254</v>
      </c>
    </row>
    <row r="17" spans="2:41" ht="15" customHeight="1" outlineLevel="2">
      <c r="B17" s="15"/>
      <c r="C17" s="14"/>
      <c r="D17" s="14" t="s">
        <v>255</v>
      </c>
      <c r="E17" s="14"/>
      <c r="F17" s="14"/>
      <c r="G17" s="14" t="s">
        <v>256</v>
      </c>
      <c r="H17" s="14"/>
      <c r="I17" s="28"/>
      <c r="K17" s="42"/>
      <c r="L17" s="106"/>
      <c r="M17" s="202"/>
      <c r="O17" s="446">
        <f>'INPUT1 - Veh Geometry'!$H$115+100</f>
        <v>-534.6</v>
      </c>
      <c r="P17" s="10">
        <f>'INPUT1 - Veh Geometry'!$I$115</f>
        <v>-188</v>
      </c>
      <c r="Q17" s="10">
        <f>'INPUT1 - Veh Geometry'!$J$115</f>
        <v>191</v>
      </c>
      <c r="R17" s="10">
        <f t="shared" si="9"/>
        <v>191</v>
      </c>
      <c r="S17" s="10">
        <f t="shared" si="9"/>
        <v>191</v>
      </c>
      <c r="T17" s="7">
        <f t="shared" si="10"/>
        <v>0</v>
      </c>
      <c r="U17" s="48">
        <f t="shared" si="11"/>
        <v>0</v>
      </c>
      <c r="V17" s="3"/>
      <c r="W17" s="3"/>
      <c r="X17" s="3"/>
      <c r="Y17" s="503">
        <f t="shared" si="6"/>
        <v>0</v>
      </c>
      <c r="Z17" s="1" t="s">
        <v>223</v>
      </c>
      <c r="AA17" s="504" t="s">
        <v>238</v>
      </c>
      <c r="AB17" s="504" t="str">
        <f t="shared" si="0"/>
        <v>ADAPTATION</v>
      </c>
      <c r="AC17" s="504" t="str">
        <f t="shared" si="3"/>
        <v>CIRCUIT EAU</v>
      </c>
      <c r="AD17" s="504" t="str">
        <f t="shared" si="4"/>
        <v>Système motoventilateur</v>
      </c>
      <c r="AE17" s="504" t="str">
        <f t="shared" si="5"/>
        <v>ADAPTATION / CIRCUIT EAU  / Système motoventilateur</v>
      </c>
      <c r="AF17" s="504"/>
      <c r="AH17" t="s">
        <v>257</v>
      </c>
      <c r="AL17" t="s">
        <v>258</v>
      </c>
    </row>
    <row r="18" spans="2:41" ht="15" customHeight="1" outlineLevel="2">
      <c r="B18" s="15"/>
      <c r="C18" s="14"/>
      <c r="D18" s="14" t="s">
        <v>259</v>
      </c>
      <c r="E18" s="14"/>
      <c r="F18" s="14"/>
      <c r="G18" s="14" t="s">
        <v>260</v>
      </c>
      <c r="H18" s="14"/>
      <c r="I18" s="28"/>
      <c r="K18" s="42"/>
      <c r="L18" s="106"/>
      <c r="M18" s="202"/>
      <c r="O18" s="446">
        <f>'INPUT1 - Veh Geometry'!$H$87</f>
        <v>-241.5</v>
      </c>
      <c r="P18" s="10">
        <f>'INPUT1 - Veh Geometry'!$I$87</f>
        <v>-48</v>
      </c>
      <c r="Q18" s="10">
        <f>'INPUT1 - Veh Geometry'!$J$87-100</f>
        <v>44.400000000000006</v>
      </c>
      <c r="R18" s="10">
        <f t="shared" si="9"/>
        <v>44.400000000000006</v>
      </c>
      <c r="S18" s="10">
        <f t="shared" si="9"/>
        <v>44.400000000000006</v>
      </c>
      <c r="T18" s="7">
        <f t="shared" si="10"/>
        <v>0</v>
      </c>
      <c r="U18" s="48">
        <f t="shared" si="11"/>
        <v>0</v>
      </c>
      <c r="V18" s="3"/>
      <c r="W18" s="3"/>
      <c r="X18" s="3"/>
      <c r="Y18" s="503">
        <f t="shared" si="6"/>
        <v>0</v>
      </c>
      <c r="Z18" s="1" t="s">
        <v>261</v>
      </c>
      <c r="AA18" s="504"/>
      <c r="AB18" s="504" t="str">
        <f t="shared" si="0"/>
        <v>ADAPTATION</v>
      </c>
      <c r="AC18" s="504" t="str">
        <f t="shared" si="3"/>
        <v>CIRCUIT EAU</v>
      </c>
      <c r="AD18" s="504" t="str">
        <f t="shared" si="4"/>
        <v>Système pompe auxiliaire</v>
      </c>
      <c r="AE18" s="504" t="str">
        <f t="shared" si="5"/>
        <v>ADAPTATION / CIRCUIT EAU  / Système pompe auxiliaire</v>
      </c>
      <c r="AF18" s="504"/>
      <c r="AH18" t="s">
        <v>262</v>
      </c>
      <c r="AL18" t="s">
        <v>263</v>
      </c>
      <c r="AO18" s="2"/>
    </row>
    <row r="19" spans="2:41" ht="15" customHeight="1" outlineLevel="1">
      <c r="B19" s="47"/>
      <c r="C19" s="35" t="s">
        <v>264</v>
      </c>
      <c r="D19" s="35"/>
      <c r="E19" s="35"/>
      <c r="F19" s="35" t="s">
        <v>265</v>
      </c>
      <c r="G19" s="35"/>
      <c r="H19" s="35"/>
      <c r="I19" s="102"/>
      <c r="K19" s="42">
        <v>1</v>
      </c>
      <c r="L19" s="106">
        <v>1.3</v>
      </c>
      <c r="M19" s="202"/>
      <c r="O19" s="446">
        <f>'INPUT1 - Veh Geometry'!$H$42-300</f>
        <v>1034</v>
      </c>
      <c r="P19" s="10">
        <f>'INPUT1 - Veh Geometry'!$I$42</f>
        <v>-355</v>
      </c>
      <c r="Q19" s="10">
        <f>'INPUT1 - Veh Geometry'!$J$42-100</f>
        <v>290.3</v>
      </c>
      <c r="R19" s="10">
        <f t="shared" si="9"/>
        <v>290.3</v>
      </c>
      <c r="S19" s="10">
        <f t="shared" si="9"/>
        <v>290.3</v>
      </c>
      <c r="T19" s="7">
        <f t="shared" si="10"/>
        <v>0.76990530303030302</v>
      </c>
      <c r="U19" s="48">
        <f t="shared" si="11"/>
        <v>0.53009469696969702</v>
      </c>
      <c r="V19" s="3"/>
      <c r="W19" s="3"/>
      <c r="X19" s="3"/>
      <c r="Y19" s="503">
        <f t="shared" si="6"/>
        <v>1.3</v>
      </c>
      <c r="Z19" s="1" t="s">
        <v>223</v>
      </c>
      <c r="AA19" s="504" t="s">
        <v>266</v>
      </c>
      <c r="AB19" s="504" t="str">
        <f t="shared" si="0"/>
        <v>ADAPTATION</v>
      </c>
      <c r="AC19" s="504" t="str">
        <f t="shared" si="3"/>
        <v>COMMANDE VITESSE</v>
      </c>
      <c r="AD19" s="504" t="str">
        <f t="shared" si="4"/>
        <v/>
      </c>
      <c r="AE19" s="504" t="str">
        <f t="shared" si="5"/>
        <v xml:space="preserve">ADAPTATION / COMMANDE VITESSE  / </v>
      </c>
      <c r="AF19" s="504"/>
      <c r="AH19" t="s">
        <v>267</v>
      </c>
      <c r="AL19" t="s">
        <v>268</v>
      </c>
      <c r="AO19" s="2"/>
    </row>
    <row r="20" spans="2:41" ht="15" customHeight="1" outlineLevel="1">
      <c r="B20" s="47"/>
      <c r="C20" s="35" t="s">
        <v>269</v>
      </c>
      <c r="D20" s="35"/>
      <c r="E20" s="35"/>
      <c r="F20" s="35" t="s">
        <v>270</v>
      </c>
      <c r="G20" s="35"/>
      <c r="H20" s="35"/>
      <c r="I20" s="102"/>
      <c r="K20" s="42">
        <v>1</v>
      </c>
      <c r="L20" s="106">
        <v>22.9</v>
      </c>
      <c r="M20" s="202"/>
      <c r="O20" s="446">
        <f>'INPUT1 - Veh Geometry'!$H$101</f>
        <v>1265</v>
      </c>
      <c r="P20" s="10">
        <f>'INPUT1 - Veh Geometry'!$I$101</f>
        <v>-290</v>
      </c>
      <c r="Q20" s="10">
        <f>'INPUT1 - Veh Geometry'!$J$101</f>
        <v>-32</v>
      </c>
      <c r="R20" s="10">
        <f t="shared" si="9"/>
        <v>-32</v>
      </c>
      <c r="S20" s="10">
        <f t="shared" si="9"/>
        <v>-32</v>
      </c>
      <c r="T20" s="7">
        <f t="shared" si="10"/>
        <v>11.55842803030303</v>
      </c>
      <c r="U20" s="48">
        <f t="shared" si="11"/>
        <v>11.341571969696968</v>
      </c>
      <c r="V20" s="3"/>
      <c r="W20" s="3"/>
      <c r="X20" s="3"/>
      <c r="Y20" s="503">
        <f t="shared" si="6"/>
        <v>22.9</v>
      </c>
      <c r="Z20" s="1" t="s">
        <v>223</v>
      </c>
      <c r="AA20" s="504" t="s">
        <v>271</v>
      </c>
      <c r="AB20" s="504" t="str">
        <f t="shared" si="0"/>
        <v>ADAPTATION</v>
      </c>
      <c r="AC20" s="504" t="str">
        <f t="shared" si="3"/>
        <v>ECHAPPEMENT</v>
      </c>
      <c r="AD20" s="504" t="str">
        <f t="shared" si="4"/>
        <v/>
      </c>
      <c r="AE20" s="504" t="str">
        <f t="shared" si="5"/>
        <v xml:space="preserve">ADAPTATION / ECHAPPEMENT  / </v>
      </c>
      <c r="AF20" s="504"/>
      <c r="AH20" t="s">
        <v>272</v>
      </c>
      <c r="AL20" t="s">
        <v>273</v>
      </c>
    </row>
    <row r="21" spans="2:41" ht="15" customHeight="1" outlineLevel="1">
      <c r="B21" s="47"/>
      <c r="C21" s="35" t="s">
        <v>274</v>
      </c>
      <c r="D21" s="35"/>
      <c r="E21" s="35"/>
      <c r="F21" s="35" t="s">
        <v>275</v>
      </c>
      <c r="G21" s="35"/>
      <c r="H21" s="35"/>
      <c r="I21" s="102"/>
      <c r="K21" s="42"/>
      <c r="L21" s="106">
        <v>0</v>
      </c>
      <c r="M21" s="202"/>
      <c r="O21" s="446">
        <f>'INPUT1 - Veh Geometry'!$H$101</f>
        <v>1265</v>
      </c>
      <c r="P21" s="10">
        <f>'INPUT1 - Veh Geometry'!$I$101</f>
        <v>-290</v>
      </c>
      <c r="Q21" s="10">
        <f>'INPUT1 - Veh Geometry'!$J$101</f>
        <v>-32</v>
      </c>
      <c r="R21" s="10">
        <f t="shared" si="9"/>
        <v>-32</v>
      </c>
      <c r="S21" s="10">
        <f t="shared" si="9"/>
        <v>-32</v>
      </c>
      <c r="T21" s="7">
        <f t="shared" si="10"/>
        <v>0</v>
      </c>
      <c r="U21" s="48">
        <f t="shared" si="11"/>
        <v>0</v>
      </c>
      <c r="V21" s="3"/>
      <c r="W21" s="3"/>
      <c r="X21" s="3"/>
      <c r="Y21" s="503">
        <f t="shared" si="6"/>
        <v>0</v>
      </c>
      <c r="Z21" s="1" t="s">
        <v>223</v>
      </c>
      <c r="AA21" s="504" t="s">
        <v>276</v>
      </c>
      <c r="AB21" s="504" t="str">
        <f t="shared" si="0"/>
        <v>ADAPTATION</v>
      </c>
      <c r="AC21" s="504" t="str">
        <f t="shared" si="3"/>
        <v>ECRANS THERMIQUE</v>
      </c>
      <c r="AD21" s="504" t="str">
        <f t="shared" si="4"/>
        <v/>
      </c>
      <c r="AE21" s="504" t="str">
        <f t="shared" si="5"/>
        <v xml:space="preserve">ADAPTATION / ECRANS THERMIQUE  / </v>
      </c>
      <c r="AF21" s="504"/>
      <c r="AH21" t="s">
        <v>277</v>
      </c>
      <c r="AL21" t="s">
        <v>278</v>
      </c>
    </row>
    <row r="22" spans="2:41" ht="15" customHeight="1" outlineLevel="1">
      <c r="B22" s="47"/>
      <c r="C22" s="35" t="s">
        <v>279</v>
      </c>
      <c r="D22" s="443"/>
      <c r="E22" s="443"/>
      <c r="F22" s="443"/>
      <c r="G22" s="35"/>
      <c r="H22" s="35"/>
      <c r="I22" s="102"/>
      <c r="K22" s="42">
        <v>1</v>
      </c>
      <c r="L22" s="106">
        <v>13</v>
      </c>
      <c r="M22" s="202"/>
      <c r="O22" s="446">
        <f>'INPUT1 - Veh Geometry'!$H$115</f>
        <v>-634.6</v>
      </c>
      <c r="P22" s="10">
        <f>'INPUT1 - Veh Geometry'!$I$115</f>
        <v>-188</v>
      </c>
      <c r="Q22" s="10">
        <f>'INPUT1 - Veh Geometry'!$J$115</f>
        <v>191</v>
      </c>
      <c r="R22" s="10">
        <f>$Q22</f>
        <v>191</v>
      </c>
      <c r="S22" s="10">
        <f>$Q22</f>
        <v>191</v>
      </c>
      <c r="T22" s="7">
        <f>L22*K22-U22</f>
        <v>15.91564393939394</v>
      </c>
      <c r="U22" s="48">
        <f t="shared" si="11"/>
        <v>-2.9156439393939393</v>
      </c>
      <c r="V22" s="3"/>
      <c r="W22" s="3"/>
      <c r="X22" s="3"/>
      <c r="Y22" s="503">
        <f t="shared" si="6"/>
        <v>13</v>
      </c>
      <c r="Z22" s="1" t="s">
        <v>280</v>
      </c>
      <c r="AA22" s="504"/>
      <c r="AB22" s="504" t="str">
        <f t="shared" si="0"/>
        <v>ADAPTATION</v>
      </c>
      <c r="AC22" s="504" t="str">
        <f t="shared" si="3"/>
        <v>FACADE</v>
      </c>
      <c r="AD22" s="504" t="str">
        <f t="shared" si="4"/>
        <v/>
      </c>
      <c r="AE22" s="504" t="str">
        <f t="shared" si="5"/>
        <v xml:space="preserve">ADAPTATION / FACADE  / </v>
      </c>
      <c r="AF22" s="504"/>
    </row>
    <row r="23" spans="2:41" ht="15" customHeight="1" outlineLevel="1">
      <c r="B23" s="455"/>
      <c r="C23" s="35" t="s">
        <v>281</v>
      </c>
      <c r="D23" s="456"/>
      <c r="E23" s="456"/>
      <c r="F23" s="456"/>
      <c r="G23" s="456"/>
      <c r="H23" s="456"/>
      <c r="I23" s="457"/>
      <c r="K23" s="42"/>
      <c r="L23" s="106">
        <v>0</v>
      </c>
      <c r="M23" s="202"/>
      <c r="O23" s="446">
        <f>'INPUT1 - Veh Geometry'!$H$101</f>
        <v>1265</v>
      </c>
      <c r="P23" s="10">
        <f>'INPUT1 - Veh Geometry'!$I$101</f>
        <v>-290</v>
      </c>
      <c r="Q23" s="10">
        <f>'INPUT1 - Veh Geometry'!$J$101</f>
        <v>-32</v>
      </c>
      <c r="R23" s="10">
        <f t="shared" si="9"/>
        <v>-32</v>
      </c>
      <c r="S23" s="10">
        <f t="shared" si="9"/>
        <v>-32</v>
      </c>
      <c r="T23" s="7">
        <f t="shared" ref="T23:T24" si="12">L23*K23-U23</f>
        <v>0</v>
      </c>
      <c r="U23" s="48">
        <f t="shared" si="11"/>
        <v>0</v>
      </c>
      <c r="V23" s="3"/>
      <c r="W23" s="3"/>
      <c r="X23" s="3"/>
      <c r="Y23" s="503">
        <f t="shared" ref="Y23:Y24" si="13">IF(ISNUMBER(K23),L23*K23,0)</f>
        <v>0</v>
      </c>
      <c r="Z23" s="1" t="s">
        <v>223</v>
      </c>
      <c r="AA23" s="504"/>
      <c r="AB23" s="504" t="str">
        <f t="shared" si="0"/>
        <v>ADAPTATION</v>
      </c>
      <c r="AC23" s="504" t="str">
        <f>IF(C23&lt;&gt;0,C23,#REF!)</f>
        <v>LIQUIDE ADDITIF</v>
      </c>
      <c r="AD23" s="504" t="str">
        <f t="shared" si="4"/>
        <v/>
      </c>
      <c r="AE23" s="504" t="str">
        <f t="shared" si="5"/>
        <v xml:space="preserve">ADAPTATION / LIQUIDE ADDITIF  / </v>
      </c>
      <c r="AF23" s="504"/>
    </row>
    <row r="24" spans="2:41" ht="15" customHeight="1" outlineLevel="1">
      <c r="B24" s="47" t="s">
        <v>282</v>
      </c>
      <c r="C24" s="35" t="s">
        <v>283</v>
      </c>
      <c r="D24" s="35"/>
      <c r="E24" s="443"/>
      <c r="F24" s="443"/>
      <c r="G24" s="35" t="s">
        <v>251</v>
      </c>
      <c r="H24" s="35"/>
      <c r="I24" s="102"/>
      <c r="K24" s="42"/>
      <c r="L24" s="106"/>
      <c r="M24" s="202"/>
      <c r="O24" s="446">
        <f>('INPUT1 - Veh Geometry'!$H$116+'INPUT1 - Veh Geometry'!$H$93+'INPUT1 - Veh Geometry'!$H$87+'INPUT1 - Veh Geometry'!$H$90+'INPUT1 - Veh Geometry'!$H$98)/5</f>
        <v>105.17999999999999</v>
      </c>
      <c r="P24" s="10">
        <f>('INPUT1 - Veh Geometry'!$I$116+'INPUT1 - Veh Geometry'!$I$93+'INPUT1 - Veh Geometry'!$I$87+'INPUT1 - Veh Geometry'!$I$90+'INPUT1 - Veh Geometry'!$I$98)/5</f>
        <v>70.400000000000006</v>
      </c>
      <c r="Q24" s="10">
        <f>('INPUT1 - Veh Geometry'!$J$116+'INPUT1 - Veh Geometry'!$J$93+'INPUT1 - Veh Geometry'!$J$87+'INPUT1 - Veh Geometry'!$J$90+'INPUT1 - Veh Geometry'!$J$98)/5</f>
        <v>158.18</v>
      </c>
      <c r="R24" s="10">
        <f t="shared" si="9"/>
        <v>158.18</v>
      </c>
      <c r="S24" s="10">
        <f t="shared" si="9"/>
        <v>158.18</v>
      </c>
      <c r="T24" s="7">
        <f t="shared" si="12"/>
        <v>0</v>
      </c>
      <c r="U24" s="48">
        <f t="shared" si="11"/>
        <v>0</v>
      </c>
      <c r="V24" s="3"/>
      <c r="W24" s="3"/>
      <c r="X24" s="3"/>
      <c r="Y24" s="503">
        <f t="shared" si="13"/>
        <v>0</v>
      </c>
      <c r="Z24" s="1" t="s">
        <v>223</v>
      </c>
      <c r="AA24" s="504" t="s">
        <v>252</v>
      </c>
      <c r="AB24" s="504" t="str">
        <f t="shared" si="0"/>
        <v>Déjà en ligne 16</v>
      </c>
      <c r="AC24" s="504" t="str">
        <f t="shared" si="3"/>
        <v>LIQUIDE REFROIDISSEMENT</v>
      </c>
      <c r="AD24" s="504" t="str">
        <f t="shared" si="4"/>
        <v/>
      </c>
      <c r="AE24" s="504" t="str">
        <f t="shared" si="5"/>
        <v xml:space="preserve">Déjà en ligne 16 / LIQUIDE REFROIDISSEMENT  / </v>
      </c>
      <c r="AF24" s="504"/>
      <c r="AH24" t="s">
        <v>253</v>
      </c>
      <c r="AL24" t="s">
        <v>254</v>
      </c>
    </row>
    <row r="25" spans="2:41" ht="15" customHeight="1" outlineLevel="1">
      <c r="B25" s="47"/>
      <c r="C25" s="35" t="s">
        <v>284</v>
      </c>
      <c r="D25" s="35"/>
      <c r="E25" s="35"/>
      <c r="F25" s="35" t="s">
        <v>285</v>
      </c>
      <c r="G25" s="35"/>
      <c r="H25" s="35"/>
      <c r="I25" s="102"/>
      <c r="K25" s="42">
        <v>1</v>
      </c>
      <c r="L25" s="106">
        <v>2.2000000000000002</v>
      </c>
      <c r="M25" s="202"/>
      <c r="O25" s="446">
        <f>'INPUT1 - Veh Geometry'!$H$104</f>
        <v>305</v>
      </c>
      <c r="P25" s="10">
        <f>'INPUT1 - Veh Geometry'!$I$104</f>
        <v>-201</v>
      </c>
      <c r="Q25" s="10">
        <f>'INPUT1 - Veh Geometry'!$J$104</f>
        <v>316</v>
      </c>
      <c r="R25" s="10">
        <f t="shared" si="9"/>
        <v>316</v>
      </c>
      <c r="S25" s="10">
        <f t="shared" si="9"/>
        <v>316</v>
      </c>
      <c r="T25" s="7">
        <f t="shared" si="10"/>
        <v>1.9104166666666669</v>
      </c>
      <c r="U25" s="48">
        <f t="shared" si="11"/>
        <v>0.28958333333333336</v>
      </c>
      <c r="V25" s="3"/>
      <c r="W25" s="3"/>
      <c r="X25" s="3"/>
      <c r="Y25" s="503">
        <f t="shared" ref="Y25:Y71" si="14">IF(ISNUMBER(K25),L25*K25,0)</f>
        <v>2.2000000000000002</v>
      </c>
      <c r="Z25" s="1" t="s">
        <v>223</v>
      </c>
      <c r="AA25" s="504" t="s">
        <v>286</v>
      </c>
      <c r="AB25" s="504" t="str">
        <f t="shared" si="0"/>
        <v>Déjà en ligne 16</v>
      </c>
      <c r="AC25" s="504" t="str">
        <f t="shared" si="3"/>
        <v>PEDALIER</v>
      </c>
      <c r="AD25" s="504" t="str">
        <f t="shared" si="4"/>
        <v/>
      </c>
      <c r="AE25" s="504" t="str">
        <f t="shared" si="5"/>
        <v xml:space="preserve">Déjà en ligne 16 / PEDALIER  / </v>
      </c>
      <c r="AF25" s="504"/>
      <c r="AH25" t="s">
        <v>287</v>
      </c>
      <c r="AL25" t="s">
        <v>288</v>
      </c>
      <c r="AO25" s="2"/>
    </row>
    <row r="26" spans="2:41" ht="15" customHeight="1" outlineLevel="1">
      <c r="B26" s="47"/>
      <c r="C26" s="35" t="s">
        <v>289</v>
      </c>
      <c r="D26" s="35"/>
      <c r="E26" s="35"/>
      <c r="F26" s="35" t="s">
        <v>290</v>
      </c>
      <c r="G26" s="35"/>
      <c r="H26" s="35"/>
      <c r="I26" s="102"/>
      <c r="K26" s="42">
        <v>1</v>
      </c>
      <c r="L26" s="106">
        <v>48</v>
      </c>
      <c r="M26" s="202"/>
      <c r="O26" s="446">
        <f>'INPUT1 - Veh Geometry'!$H$56</f>
        <v>1960</v>
      </c>
      <c r="P26" s="10">
        <f>'INPUT1 - Veh Geometry'!$I$56</f>
        <v>38</v>
      </c>
      <c r="Q26" s="10">
        <f>'INPUT1 - Veh Geometry'!$J$56</f>
        <v>33</v>
      </c>
      <c r="R26" s="10">
        <f t="shared" si="9"/>
        <v>33</v>
      </c>
      <c r="S26" s="10">
        <f t="shared" si="9"/>
        <v>33</v>
      </c>
      <c r="T26" s="7">
        <f t="shared" si="10"/>
        <v>11.590909090909093</v>
      </c>
      <c r="U26" s="48">
        <f t="shared" si="11"/>
        <v>36.409090909090907</v>
      </c>
      <c r="V26" s="3"/>
      <c r="W26" s="3"/>
      <c r="X26" s="3"/>
      <c r="Y26" s="503">
        <f t="shared" si="14"/>
        <v>48</v>
      </c>
      <c r="Z26" s="1" t="s">
        <v>223</v>
      </c>
      <c r="AA26" s="504" t="s">
        <v>291</v>
      </c>
      <c r="AB26" s="504" t="str">
        <f t="shared" si="0"/>
        <v>Déjà en ligne 16</v>
      </c>
      <c r="AC26" s="504" t="str">
        <f t="shared" si="3"/>
        <v>RESERVOIR CARBURANT</v>
      </c>
      <c r="AD26" s="504" t="str">
        <f t="shared" si="4"/>
        <v/>
      </c>
      <c r="AE26" s="504" t="str">
        <f t="shared" si="5"/>
        <v xml:space="preserve">Déjà en ligne 16 / RESERVOIR CARBURANT  / </v>
      </c>
      <c r="AF26" s="504"/>
      <c r="AH26" t="s">
        <v>292</v>
      </c>
      <c r="AL26" t="s">
        <v>293</v>
      </c>
      <c r="AO26" s="2"/>
    </row>
    <row r="27" spans="2:41" ht="15" customHeight="1" outlineLevel="1">
      <c r="B27" s="47"/>
      <c r="C27" s="35" t="s">
        <v>294</v>
      </c>
      <c r="D27" s="35"/>
      <c r="E27" s="35"/>
      <c r="F27" s="35" t="s">
        <v>294</v>
      </c>
      <c r="G27" s="35"/>
      <c r="H27" s="35"/>
      <c r="I27" s="102"/>
      <c r="K27" s="42"/>
      <c r="L27" s="106">
        <v>0</v>
      </c>
      <c r="M27" s="202"/>
      <c r="O27" s="446">
        <f>'INPUT1 - Veh Geometry'!$H$56</f>
        <v>1960</v>
      </c>
      <c r="P27" s="10">
        <f>'INPUT1 - Veh Geometry'!$I$56</f>
        <v>38</v>
      </c>
      <c r="Q27" s="10">
        <f>'INPUT1 - Veh Geometry'!$J$56</f>
        <v>33</v>
      </c>
      <c r="R27" s="10">
        <f t="shared" si="9"/>
        <v>33</v>
      </c>
      <c r="S27" s="10">
        <f t="shared" si="9"/>
        <v>33</v>
      </c>
      <c r="T27" s="7">
        <f t="shared" si="10"/>
        <v>0</v>
      </c>
      <c r="U27" s="48">
        <f t="shared" si="11"/>
        <v>0</v>
      </c>
      <c r="V27" s="3"/>
      <c r="W27" s="3"/>
      <c r="X27" s="3"/>
      <c r="Y27" s="503">
        <f t="shared" si="14"/>
        <v>0</v>
      </c>
      <c r="Z27" s="1" t="s">
        <v>223</v>
      </c>
      <c r="AA27" s="504" t="s">
        <v>291</v>
      </c>
      <c r="AB27" s="504" t="str">
        <f t="shared" si="0"/>
        <v>Déjà en ligne 16</v>
      </c>
      <c r="AC27" s="504" t="str">
        <f t="shared" si="3"/>
        <v>Canister</v>
      </c>
      <c r="AD27" s="504" t="str">
        <f t="shared" si="4"/>
        <v/>
      </c>
      <c r="AE27" s="504" t="str">
        <f t="shared" si="5"/>
        <v xml:space="preserve">Déjà en ligne 16 / Canister  / </v>
      </c>
      <c r="AF27" s="504"/>
      <c r="AH27" t="s">
        <v>295</v>
      </c>
      <c r="AL27" t="s">
        <v>296</v>
      </c>
      <c r="AO27" s="2"/>
    </row>
    <row r="28" spans="2:41" ht="15" customHeight="1" outlineLevel="1">
      <c r="B28" s="47"/>
      <c r="C28" s="35" t="s">
        <v>297</v>
      </c>
      <c r="D28" s="35"/>
      <c r="E28" s="35"/>
      <c r="F28" s="35" t="s">
        <v>298</v>
      </c>
      <c r="G28" s="35"/>
      <c r="H28" s="35"/>
      <c r="I28" s="102"/>
      <c r="K28" s="42"/>
      <c r="L28" s="106">
        <v>0</v>
      </c>
      <c r="M28" s="202"/>
      <c r="O28" s="446">
        <f>'INPUT1 - Veh Geometry'!$H$56</f>
        <v>1960</v>
      </c>
      <c r="P28" s="10">
        <f>'INPUT1 - Veh Geometry'!I56</f>
        <v>38</v>
      </c>
      <c r="Q28" s="10">
        <f>'INPUT1 - Veh Geometry'!$J$56</f>
        <v>33</v>
      </c>
      <c r="R28" s="10">
        <f t="shared" si="9"/>
        <v>33</v>
      </c>
      <c r="S28" s="10">
        <f t="shared" si="9"/>
        <v>33</v>
      </c>
      <c r="T28" s="7">
        <f t="shared" si="10"/>
        <v>0</v>
      </c>
      <c r="U28" s="48">
        <f t="shared" si="11"/>
        <v>0</v>
      </c>
      <c r="V28" s="3"/>
      <c r="W28" s="3"/>
      <c r="X28" s="3"/>
      <c r="Y28" s="503">
        <f t="shared" si="14"/>
        <v>0</v>
      </c>
      <c r="Z28" s="1" t="s">
        <v>223</v>
      </c>
      <c r="AA28" s="504" t="s">
        <v>291</v>
      </c>
      <c r="AB28" s="504" t="str">
        <f t="shared" si="0"/>
        <v>Déjà en ligne 16</v>
      </c>
      <c r="AC28" s="504" t="str">
        <f t="shared" si="3"/>
        <v>Masse carburant</v>
      </c>
      <c r="AD28" s="504" t="str">
        <f t="shared" si="4"/>
        <v/>
      </c>
      <c r="AE28" s="504" t="str">
        <f t="shared" si="5"/>
        <v xml:space="preserve">Déjà en ligne 16 / Masse carburant  / </v>
      </c>
      <c r="AF28" s="504"/>
      <c r="AH28" t="s">
        <v>299</v>
      </c>
      <c r="AL28" t="s">
        <v>300</v>
      </c>
      <c r="AO28" s="2"/>
    </row>
    <row r="29" spans="2:41" ht="15" customHeight="1" outlineLevel="1">
      <c r="B29" s="47"/>
      <c r="C29" s="35" t="s">
        <v>301</v>
      </c>
      <c r="D29" s="35"/>
      <c r="E29" s="35"/>
      <c r="F29" s="35" t="s">
        <v>302</v>
      </c>
      <c r="G29" s="35"/>
      <c r="H29" s="35"/>
      <c r="I29" s="102"/>
      <c r="K29" s="42">
        <v>1</v>
      </c>
      <c r="L29" s="106">
        <v>9.6999999999999993</v>
      </c>
      <c r="M29" s="202"/>
      <c r="O29" s="446">
        <f>'INPUT1 - Veh Geometry'!H87</f>
        <v>-241.5</v>
      </c>
      <c r="P29" s="10">
        <f>'INPUT1 - Veh Geometry'!I87</f>
        <v>-48</v>
      </c>
      <c r="Q29" s="10">
        <f>'INPUT1 - Veh Geometry'!J87</f>
        <v>144.4</v>
      </c>
      <c r="R29" s="10">
        <f t="shared" si="9"/>
        <v>144.4</v>
      </c>
      <c r="S29" s="10">
        <f t="shared" si="9"/>
        <v>144.4</v>
      </c>
      <c r="T29" s="7">
        <f t="shared" si="10"/>
        <v>10.431174242424241</v>
      </c>
      <c r="U29" s="48">
        <f t="shared" si="11"/>
        <v>-0.73117424242424245</v>
      </c>
      <c r="V29" s="3"/>
      <c r="W29" s="3"/>
      <c r="X29" s="3"/>
      <c r="Y29" s="503">
        <f t="shared" si="14"/>
        <v>9.6999999999999993</v>
      </c>
      <c r="Z29" s="1" t="s">
        <v>223</v>
      </c>
      <c r="AA29" s="504" t="s">
        <v>303</v>
      </c>
      <c r="AB29" s="504" t="str">
        <f t="shared" si="0"/>
        <v>Déjà en ligne 16</v>
      </c>
      <c r="AC29" s="504" t="str">
        <f t="shared" si="3"/>
        <v>SUPPORT GMP AV</v>
      </c>
      <c r="AD29" s="504" t="str">
        <f t="shared" si="4"/>
        <v/>
      </c>
      <c r="AE29" s="504" t="str">
        <f t="shared" si="5"/>
        <v xml:space="preserve">Déjà en ligne 16 / SUPPORT GMP AV  / </v>
      </c>
      <c r="AF29" s="504"/>
      <c r="AO29" s="2"/>
    </row>
    <row r="30" spans="2:41" ht="15" customHeight="1" outlineLevel="1">
      <c r="B30" s="47"/>
      <c r="C30" s="35" t="s">
        <v>304</v>
      </c>
      <c r="D30" s="35"/>
      <c r="E30" s="35"/>
      <c r="F30" s="35" t="s">
        <v>305</v>
      </c>
      <c r="G30" s="35"/>
      <c r="H30" s="35"/>
      <c r="I30" s="102"/>
      <c r="K30" s="42"/>
      <c r="L30" s="106"/>
      <c r="M30" s="202"/>
      <c r="O30" s="446">
        <f>'INPUT1 - Veh Geometry'!H90</f>
        <v>0</v>
      </c>
      <c r="P30" s="10">
        <f>'INPUT1 - Veh Geometry'!I90</f>
        <v>0</v>
      </c>
      <c r="Q30" s="10">
        <f>'INPUT1 - Veh Geometry'!J90</f>
        <v>0</v>
      </c>
      <c r="R30" s="10">
        <f t="shared" si="9"/>
        <v>0</v>
      </c>
      <c r="S30" s="10">
        <f t="shared" si="9"/>
        <v>0</v>
      </c>
      <c r="T30" s="7">
        <f t="shared" si="10"/>
        <v>0</v>
      </c>
      <c r="U30" s="48">
        <f t="shared" si="11"/>
        <v>0</v>
      </c>
      <c r="V30" s="3"/>
      <c r="W30" s="3"/>
      <c r="X30" s="3"/>
      <c r="Y30" s="503">
        <f t="shared" si="14"/>
        <v>0</v>
      </c>
      <c r="Z30" s="1" t="s">
        <v>223</v>
      </c>
      <c r="AA30" s="504" t="s">
        <v>303</v>
      </c>
      <c r="AB30" s="504" t="str">
        <f t="shared" si="0"/>
        <v>Déjà en ligne 16</v>
      </c>
      <c r="AC30" s="504" t="str">
        <f t="shared" si="3"/>
        <v>Supports MEL AR</v>
      </c>
      <c r="AD30" s="504" t="str">
        <f t="shared" si="4"/>
        <v/>
      </c>
      <c r="AE30" s="504" t="str">
        <f t="shared" si="5"/>
        <v xml:space="preserve">Déjà en ligne 16 / Supports MEL AR  / </v>
      </c>
      <c r="AF30" s="504"/>
      <c r="AH30" t="s">
        <v>306</v>
      </c>
      <c r="AL30" t="s">
        <v>307</v>
      </c>
      <c r="AO30" s="2"/>
    </row>
    <row r="31" spans="2:41" ht="15" customHeight="1">
      <c r="B31" s="9" t="s">
        <v>280</v>
      </c>
      <c r="C31" s="8"/>
      <c r="D31" s="8"/>
      <c r="E31" s="8"/>
      <c r="F31" s="8" t="s">
        <v>280</v>
      </c>
      <c r="G31" s="8"/>
      <c r="H31" s="8"/>
      <c r="I31" s="29"/>
      <c r="K31" s="34"/>
      <c r="L31" s="22">
        <f>SUMPRODUCT(K32:K37,L32:L37)</f>
        <v>17.399999999999999</v>
      </c>
      <c r="M31" s="203"/>
      <c r="O31" s="33">
        <f>SUMPRODUCT($K32:$K37,$L32:$L37,O32:O37)/$L31</f>
        <v>-37.214750957854392</v>
      </c>
      <c r="P31" s="23">
        <f>SUMPRODUCT($K32:$K37,$L32:$L37,P32:P37)/$L31</f>
        <v>-22.791187739463599</v>
      </c>
      <c r="Q31" s="23">
        <f>SUMPRODUCT($K32:$K37,$L32:$L37,Q32:Q37)/$L31</f>
        <v>243.23218390804598</v>
      </c>
      <c r="R31" s="23">
        <f>SUMPRODUCT($K32:$K37,$L32:$L37,R32:R37)/$L31</f>
        <v>243.23218390804598</v>
      </c>
      <c r="S31" s="23">
        <f>SUMPRODUCT($K32:$K37,$L32:$L37,S32:S37)/$L31</f>
        <v>243.23218390804598</v>
      </c>
      <c r="T31" s="22">
        <f>SUM(T32:T37)</f>
        <v>17.365165404040404</v>
      </c>
      <c r="U31" s="32">
        <f>SUMIF($K32:$K37,"&gt;0",$U32:$U37)</f>
        <v>3.4834595959595926E-2</v>
      </c>
      <c r="V31" s="3"/>
      <c r="W31" s="3"/>
      <c r="X31" s="3"/>
      <c r="Y31" s="503">
        <f t="shared" si="14"/>
        <v>0</v>
      </c>
      <c r="Z31" s="1" t="s">
        <v>280</v>
      </c>
      <c r="AA31" s="504"/>
      <c r="AB31" s="504" t="str">
        <f t="shared" si="0"/>
        <v>ADTH</v>
      </c>
      <c r="AC31" s="504" t="str">
        <f t="shared" si="3"/>
        <v>Supports MEL AR</v>
      </c>
      <c r="AD31" s="504" t="str">
        <f t="shared" si="4"/>
        <v/>
      </c>
      <c r="AE31" s="504" t="str">
        <f t="shared" si="5"/>
        <v xml:space="preserve">ADTH / Supports MEL AR  / </v>
      </c>
      <c r="AF31" s="504"/>
    </row>
    <row r="32" spans="2:41" ht="15" customHeight="1" outlineLevel="2">
      <c r="B32" s="47"/>
      <c r="C32" s="35" t="s">
        <v>308</v>
      </c>
      <c r="D32" s="35"/>
      <c r="E32" s="35"/>
      <c r="F32" s="35" t="s">
        <v>309</v>
      </c>
      <c r="G32" s="35"/>
      <c r="H32" s="35"/>
      <c r="I32" s="102"/>
      <c r="K32" s="42"/>
      <c r="L32" s="106"/>
      <c r="M32" s="202"/>
      <c r="O32" s="446">
        <f>'INPUT1 - Veh Geometry'!$H$115</f>
        <v>-634.6</v>
      </c>
      <c r="P32" s="10">
        <f>'INPUT1 - Veh Geometry'!$I$115</f>
        <v>-188</v>
      </c>
      <c r="Q32" s="10">
        <f>'INPUT1 - Veh Geometry'!$J$115</f>
        <v>191</v>
      </c>
      <c r="R32" s="10">
        <f t="shared" si="9"/>
        <v>191</v>
      </c>
      <c r="S32" s="10">
        <f t="shared" si="9"/>
        <v>191</v>
      </c>
      <c r="T32" s="7">
        <f t="shared" ref="T32:T37" si="15">L32*K32-U32</f>
        <v>0</v>
      </c>
      <c r="U32" s="48">
        <f t="shared" ref="U32:U37" si="16">IF(ISNUMBER(K32),L32*K32*(O32-$D$262)/E,)</f>
        <v>0</v>
      </c>
      <c r="V32" s="3"/>
      <c r="W32" s="3"/>
      <c r="X32" s="3"/>
      <c r="Y32" s="503">
        <f t="shared" si="14"/>
        <v>0</v>
      </c>
      <c r="Z32" s="1" t="s">
        <v>280</v>
      </c>
      <c r="AA32" s="504"/>
      <c r="AB32" s="504" t="str">
        <f t="shared" si="0"/>
        <v>ADTH</v>
      </c>
      <c r="AC32" s="504" t="str">
        <f t="shared" si="3"/>
        <v>Gaz de climatisation</v>
      </c>
      <c r="AD32" s="504" t="str">
        <f t="shared" si="4"/>
        <v/>
      </c>
      <c r="AE32" s="504" t="str">
        <f t="shared" si="5"/>
        <v xml:space="preserve">ADTH / Gaz de climatisation  / </v>
      </c>
      <c r="AF32" s="504"/>
      <c r="AH32" t="s">
        <v>310</v>
      </c>
      <c r="AL32" t="s">
        <v>311</v>
      </c>
    </row>
    <row r="33" spans="2:41" ht="15" customHeight="1" outlineLevel="2">
      <c r="B33" s="47"/>
      <c r="C33" s="35" t="s">
        <v>312</v>
      </c>
      <c r="D33" s="35"/>
      <c r="E33" s="35"/>
      <c r="F33" s="35" t="s">
        <v>313</v>
      </c>
      <c r="G33" s="35"/>
      <c r="H33" s="35"/>
      <c r="I33" s="102"/>
      <c r="K33" s="42">
        <v>1</v>
      </c>
      <c r="L33" s="106">
        <v>2.8</v>
      </c>
      <c r="M33" s="202"/>
      <c r="O33" s="446">
        <f>('INPUT1 - Veh Geometry'!$H$115*2+'INPUT1 - Veh Geometry'!$H$102)/3</f>
        <v>-334.06666666666666</v>
      </c>
      <c r="P33" s="10">
        <f>('INPUT1 - Veh Geometry'!$I$115*2+'INPUT1 - Veh Geometry'!$I$102)/3</f>
        <v>-113.66666666666667</v>
      </c>
      <c r="Q33" s="10">
        <f>('INPUT1 - Veh Geometry'!$J$115*2+'INPUT1 - Veh Geometry'!$J$102)/3</f>
        <v>240</v>
      </c>
      <c r="R33" s="10">
        <f t="shared" ref="R33:S37" si="17">$Q33</f>
        <v>240</v>
      </c>
      <c r="S33" s="10">
        <f t="shared" si="17"/>
        <v>240</v>
      </c>
      <c r="T33" s="7">
        <f t="shared" si="15"/>
        <v>3.1092373737373737</v>
      </c>
      <c r="U33" s="48">
        <f t="shared" si="16"/>
        <v>-0.30923737373737376</v>
      </c>
      <c r="V33" s="3"/>
      <c r="W33" s="3"/>
      <c r="X33" s="3"/>
      <c r="Y33" s="503">
        <f t="shared" si="14"/>
        <v>2.8</v>
      </c>
      <c r="Z33" s="1" t="s">
        <v>280</v>
      </c>
      <c r="AA33" s="504"/>
      <c r="AB33" s="504" t="str">
        <f t="shared" si="0"/>
        <v>ADTH</v>
      </c>
      <c r="AC33" s="504" t="str">
        <f t="shared" si="3"/>
        <v>Conduits de clim</v>
      </c>
      <c r="AD33" s="504" t="str">
        <f t="shared" si="4"/>
        <v/>
      </c>
      <c r="AE33" s="504" t="str">
        <f t="shared" si="5"/>
        <v xml:space="preserve">ADTH / Conduits de clim  / </v>
      </c>
      <c r="AF33" s="504"/>
      <c r="AH33" t="s">
        <v>314</v>
      </c>
      <c r="AL33" t="s">
        <v>315</v>
      </c>
    </row>
    <row r="34" spans="2:41" ht="15" customHeight="1" outlineLevel="1">
      <c r="B34" s="47"/>
      <c r="C34" s="35" t="s">
        <v>316</v>
      </c>
      <c r="D34" s="35"/>
      <c r="E34" s="35"/>
      <c r="F34" s="35" t="s">
        <v>317</v>
      </c>
      <c r="G34" s="35"/>
      <c r="H34" s="35"/>
      <c r="I34" s="102"/>
      <c r="K34" s="42">
        <v>1</v>
      </c>
      <c r="L34" s="106">
        <v>7.5</v>
      </c>
      <c r="M34" s="202"/>
      <c r="O34" s="446">
        <f>'INPUT1 - Veh Geometry'!$H$102</f>
        <v>267</v>
      </c>
      <c r="P34" s="10">
        <f>'INPUT1 - Veh Geometry'!$I$102</f>
        <v>35</v>
      </c>
      <c r="Q34" s="10">
        <f>'INPUT1 - Veh Geometry'!$J$102</f>
        <v>338</v>
      </c>
      <c r="R34" s="10">
        <f t="shared" si="17"/>
        <v>338</v>
      </c>
      <c r="S34" s="10">
        <f t="shared" si="17"/>
        <v>338</v>
      </c>
      <c r="T34" s="7">
        <f t="shared" si="15"/>
        <v>6.6207386363636367</v>
      </c>
      <c r="U34" s="48">
        <f t="shared" si="16"/>
        <v>0.87926136363636365</v>
      </c>
      <c r="V34" s="3"/>
      <c r="W34" s="3"/>
      <c r="X34" s="3"/>
      <c r="Y34" s="503">
        <f t="shared" si="14"/>
        <v>7.5</v>
      </c>
      <c r="Z34" s="1" t="s">
        <v>280</v>
      </c>
      <c r="AA34" s="504"/>
      <c r="AB34" s="504" t="str">
        <f t="shared" si="0"/>
        <v>ADTH</v>
      </c>
      <c r="AC34" s="504" t="str">
        <f t="shared" si="3"/>
        <v>Groupe de clim</v>
      </c>
      <c r="AD34" s="504" t="str">
        <f t="shared" si="4"/>
        <v/>
      </c>
      <c r="AE34" s="504" t="str">
        <f t="shared" si="5"/>
        <v xml:space="preserve">ADTH / Groupe de clim  / </v>
      </c>
      <c r="AF34" s="504"/>
      <c r="AH34" t="s">
        <v>318</v>
      </c>
      <c r="AL34" t="s">
        <v>319</v>
      </c>
      <c r="AO34" s="2"/>
    </row>
    <row r="35" spans="2:41" ht="15" customHeight="1" outlineLevel="1">
      <c r="B35" s="47"/>
      <c r="C35" s="35" t="s">
        <v>320</v>
      </c>
      <c r="D35" s="35"/>
      <c r="E35" s="35"/>
      <c r="F35" s="35" t="s">
        <v>321</v>
      </c>
      <c r="G35" s="35"/>
      <c r="H35" s="35"/>
      <c r="I35" s="102"/>
      <c r="K35" s="42">
        <v>1</v>
      </c>
      <c r="L35" s="106">
        <v>7.1</v>
      </c>
      <c r="M35" s="202"/>
      <c r="O35" s="446">
        <f>'INPUT1 - Veh Geometry'!H87</f>
        <v>-241.5</v>
      </c>
      <c r="P35" s="10">
        <f>'INPUT1 - Veh Geometry'!I87</f>
        <v>-48</v>
      </c>
      <c r="Q35" s="10">
        <f>'INPUT1 - Veh Geometry'!$J$87</f>
        <v>144.4</v>
      </c>
      <c r="R35" s="10">
        <f t="shared" si="17"/>
        <v>144.4</v>
      </c>
      <c r="S35" s="10">
        <f t="shared" si="17"/>
        <v>144.4</v>
      </c>
      <c r="T35" s="7">
        <f t="shared" si="15"/>
        <v>7.6351893939393936</v>
      </c>
      <c r="U35" s="48">
        <f t="shared" si="16"/>
        <v>-0.53518939393939391</v>
      </c>
      <c r="V35" s="3"/>
      <c r="W35" s="3"/>
      <c r="X35" s="3"/>
      <c r="Y35" s="503">
        <f t="shared" si="14"/>
        <v>7.1</v>
      </c>
      <c r="Z35" s="1" t="s">
        <v>280</v>
      </c>
      <c r="AA35" s="504"/>
      <c r="AB35" s="504" t="str">
        <f t="shared" si="0"/>
        <v>ADTH</v>
      </c>
      <c r="AC35" s="504" t="str">
        <f t="shared" si="3"/>
        <v>Compresseur de clim + support</v>
      </c>
      <c r="AD35" s="504" t="str">
        <f t="shared" si="4"/>
        <v/>
      </c>
      <c r="AE35" s="504" t="str">
        <f t="shared" si="5"/>
        <v xml:space="preserve">ADTH / Compresseur de clim + support  / </v>
      </c>
      <c r="AF35" s="504"/>
      <c r="AH35" t="s">
        <v>322</v>
      </c>
      <c r="AL35" t="s">
        <v>323</v>
      </c>
    </row>
    <row r="36" spans="2:41" ht="15" customHeight="1" outlineLevel="1">
      <c r="B36" s="47"/>
      <c r="C36" s="35" t="s">
        <v>324</v>
      </c>
      <c r="D36" s="35"/>
      <c r="E36" s="35"/>
      <c r="F36" s="35" t="s">
        <v>325</v>
      </c>
      <c r="G36" s="35"/>
      <c r="H36" s="35"/>
      <c r="I36" s="102"/>
      <c r="K36" s="42"/>
      <c r="L36" s="106"/>
      <c r="M36" s="202"/>
      <c r="O36" s="446">
        <f>'INPUT1 - Veh Geometry'!$H$115</f>
        <v>-634.6</v>
      </c>
      <c r="P36" s="10">
        <f>'INPUT1 - Veh Geometry'!$I$115</f>
        <v>-188</v>
      </c>
      <c r="Q36" s="10">
        <f>'INPUT1 - Veh Geometry'!$J$115</f>
        <v>191</v>
      </c>
      <c r="R36" s="10">
        <f t="shared" si="17"/>
        <v>191</v>
      </c>
      <c r="S36" s="10">
        <f t="shared" si="17"/>
        <v>191</v>
      </c>
      <c r="T36" s="7">
        <f t="shared" si="15"/>
        <v>0</v>
      </c>
      <c r="U36" s="48">
        <f t="shared" si="16"/>
        <v>0</v>
      </c>
      <c r="V36" s="3"/>
      <c r="W36" s="3"/>
      <c r="X36" s="3"/>
      <c r="Y36" s="503">
        <f t="shared" si="14"/>
        <v>0</v>
      </c>
      <c r="Z36" s="1" t="s">
        <v>280</v>
      </c>
      <c r="AA36" s="504"/>
      <c r="AB36" s="504" t="str">
        <f t="shared" si="0"/>
        <v>ADTH</v>
      </c>
      <c r="AC36" s="504" t="str">
        <f t="shared" si="3"/>
        <v>Chiller + support</v>
      </c>
      <c r="AD36" s="504" t="str">
        <f t="shared" si="4"/>
        <v/>
      </c>
      <c r="AE36" s="504" t="str">
        <f t="shared" si="5"/>
        <v xml:space="preserve">ADTH / Chiller + support  / </v>
      </c>
      <c r="AF36" s="504"/>
      <c r="AH36" t="s">
        <v>326</v>
      </c>
      <c r="AL36" t="s">
        <v>327</v>
      </c>
    </row>
    <row r="37" spans="2:41" ht="15" customHeight="1" outlineLevel="1">
      <c r="B37" s="47"/>
      <c r="C37" s="35" t="s">
        <v>328</v>
      </c>
      <c r="D37" s="35"/>
      <c r="E37" s="35"/>
      <c r="F37" s="35" t="s">
        <v>329</v>
      </c>
      <c r="G37" s="35"/>
      <c r="H37" s="35"/>
      <c r="I37" s="102"/>
      <c r="K37" s="42"/>
      <c r="L37" s="106"/>
      <c r="M37" s="202"/>
      <c r="O37" s="446">
        <f>'INPUT1 - Veh Geometry'!$H$46</f>
        <v>475.2</v>
      </c>
      <c r="P37" s="10">
        <f>'INPUT1 - Veh Geometry'!$I$46</f>
        <v>0</v>
      </c>
      <c r="Q37" s="10">
        <f>'INPUT1 - Veh Geometry'!$J$46</f>
        <v>531.79999999999995</v>
      </c>
      <c r="R37" s="10">
        <f t="shared" si="17"/>
        <v>531.79999999999995</v>
      </c>
      <c r="S37" s="10">
        <f t="shared" si="17"/>
        <v>531.79999999999995</v>
      </c>
      <c r="T37" s="7">
        <f t="shared" si="15"/>
        <v>0</v>
      </c>
      <c r="U37" s="48">
        <f t="shared" si="16"/>
        <v>0</v>
      </c>
      <c r="V37" s="3"/>
      <c r="W37" s="3"/>
      <c r="X37" s="3"/>
      <c r="Y37" s="503">
        <f t="shared" si="14"/>
        <v>0</v>
      </c>
      <c r="Z37" s="1" t="s">
        <v>280</v>
      </c>
      <c r="AA37" s="504"/>
      <c r="AB37" s="504" t="str">
        <f t="shared" si="0"/>
        <v>ADTH</v>
      </c>
      <c r="AC37" s="504" t="str">
        <f t="shared" si="3"/>
        <v>CTP (Water heater) + support</v>
      </c>
      <c r="AD37" s="504" t="str">
        <f t="shared" si="4"/>
        <v/>
      </c>
      <c r="AE37" s="504" t="str">
        <f t="shared" si="5"/>
        <v xml:space="preserve">ADTH / CTP (Water heater) + support  / </v>
      </c>
      <c r="AF37" s="504"/>
      <c r="AH37" t="s">
        <v>330</v>
      </c>
      <c r="AL37" t="s">
        <v>331</v>
      </c>
      <c r="AO37" s="2"/>
    </row>
    <row r="38" spans="2:41" ht="15" customHeight="1">
      <c r="B38" s="9" t="s">
        <v>332</v>
      </c>
      <c r="C38" s="8"/>
      <c r="D38" s="8"/>
      <c r="E38" s="8"/>
      <c r="F38" s="8" t="s">
        <v>333</v>
      </c>
      <c r="G38" s="8"/>
      <c r="H38" s="8"/>
      <c r="I38" s="29"/>
      <c r="K38" s="34"/>
      <c r="L38" s="22">
        <f>SUMPRODUCT(K39:K40,L39:L40)</f>
        <v>4.4000000000000004</v>
      </c>
      <c r="M38" s="203"/>
      <c r="O38" s="33">
        <f>SUMPRODUCT($K39:$K40,$L39:$L40,O39:O40)/$L38</f>
        <v>72.5</v>
      </c>
      <c r="P38" s="23">
        <f>SUMPRODUCT($K39:$K40,$L39:$L40,P39:P40)/$L38</f>
        <v>0</v>
      </c>
      <c r="Q38" s="23">
        <f>SUMPRODUCT($K39:$K40,$L39:$L40,Q39:Q40)/$L38</f>
        <v>523.9</v>
      </c>
      <c r="R38" s="23">
        <f t="shared" ref="R38:S38" si="18">SUMPRODUCT($K39:$K40,$L39:$L40,R39:R40)/$L38</f>
        <v>523.9</v>
      </c>
      <c r="S38" s="23">
        <f t="shared" si="18"/>
        <v>523.9</v>
      </c>
      <c r="T38" s="22">
        <f>SUM(T39:T40)</f>
        <v>4.2083333333333339</v>
      </c>
      <c r="U38" s="32">
        <f>SUMIF($K39:$K40,"&gt;0",$U39:$U40)</f>
        <v>0.19166666666666668</v>
      </c>
      <c r="V38" s="3"/>
      <c r="W38" s="3"/>
      <c r="X38" s="3"/>
      <c r="Y38" s="503">
        <f t="shared" si="14"/>
        <v>0</v>
      </c>
      <c r="Z38" s="1" t="s">
        <v>334</v>
      </c>
      <c r="AA38" s="504"/>
      <c r="AB38" s="504" t="str">
        <f t="shared" si="0"/>
        <v>AILES</v>
      </c>
      <c r="AC38" s="504" t="str">
        <f t="shared" si="3"/>
        <v>CTP (Water heater) + support</v>
      </c>
      <c r="AD38" s="504" t="str">
        <f t="shared" si="4"/>
        <v/>
      </c>
      <c r="AE38" s="504" t="str">
        <f t="shared" si="5"/>
        <v xml:space="preserve">AILES / CTP (Water heater) + support  / </v>
      </c>
      <c r="AF38" s="504"/>
    </row>
    <row r="39" spans="2:41" ht="15" customHeight="1" outlineLevel="1">
      <c r="B39" s="47"/>
      <c r="C39" s="35" t="s">
        <v>335</v>
      </c>
      <c r="D39" s="35"/>
      <c r="E39" s="35"/>
      <c r="F39" s="35" t="s">
        <v>336</v>
      </c>
      <c r="G39" s="35"/>
      <c r="H39" s="35"/>
      <c r="I39" s="102"/>
      <c r="K39" s="42">
        <v>1</v>
      </c>
      <c r="L39" s="106">
        <v>4.4000000000000004</v>
      </c>
      <c r="M39" s="202"/>
      <c r="O39" s="446">
        <f>'INPUT1 - Veh Geometry'!$H$61+115</f>
        <v>72.5</v>
      </c>
      <c r="P39" s="10">
        <v>0</v>
      </c>
      <c r="Q39" s="10">
        <f>'INPUT1 - Veh Geometry'!$J$61+'INPUT1 - Veh Geometry'!$H$81/2+100</f>
        <v>523.9</v>
      </c>
      <c r="R39" s="10">
        <f t="shared" ref="R39:S54" si="19">$Q39</f>
        <v>523.9</v>
      </c>
      <c r="S39" s="10">
        <f t="shared" si="19"/>
        <v>523.9</v>
      </c>
      <c r="T39" s="7">
        <f t="shared" ref="T39:T40" si="20">L39*K39-U39</f>
        <v>4.2083333333333339</v>
      </c>
      <c r="U39" s="48">
        <f>IF(ISNUMBER(K39),L39*K39*(O39-$D$262)/E,)</f>
        <v>0.19166666666666668</v>
      </c>
      <c r="V39" s="3"/>
      <c r="W39" s="3"/>
      <c r="X39" s="3"/>
      <c r="Y39" s="503">
        <f t="shared" si="14"/>
        <v>4.4000000000000004</v>
      </c>
      <c r="Z39" s="1" t="s">
        <v>334</v>
      </c>
      <c r="AA39" s="504"/>
      <c r="AB39" s="504" t="str">
        <f t="shared" si="0"/>
        <v>AILES</v>
      </c>
      <c r="AC39" s="504" t="str">
        <f t="shared" si="3"/>
        <v>Ailes avant</v>
      </c>
      <c r="AD39" s="504" t="str">
        <f t="shared" si="4"/>
        <v/>
      </c>
      <c r="AE39" s="504" t="str">
        <f t="shared" si="5"/>
        <v xml:space="preserve">AILES / Ailes avant  / </v>
      </c>
      <c r="AF39" s="504"/>
      <c r="AH39" t="s">
        <v>337</v>
      </c>
      <c r="AL39" t="s">
        <v>338</v>
      </c>
      <c r="AO39" s="2"/>
    </row>
    <row r="40" spans="2:41" ht="15" customHeight="1" outlineLevel="1">
      <c r="B40" s="47"/>
      <c r="C40" s="35" t="s">
        <v>339</v>
      </c>
      <c r="D40" s="35"/>
      <c r="E40" s="35"/>
      <c r="F40" s="35" t="s">
        <v>340</v>
      </c>
      <c r="G40" s="35"/>
      <c r="H40" s="35"/>
      <c r="I40" s="102"/>
      <c r="K40" s="42"/>
      <c r="L40" s="106"/>
      <c r="M40" s="202"/>
      <c r="O40" s="446">
        <f>'INPUT1 - Veh Geometry'!$H$33+'INPUT1 - Veh Geometry'!$H$61+300</f>
        <v>2897.5</v>
      </c>
      <c r="P40" s="10">
        <v>0</v>
      </c>
      <c r="Q40" s="10">
        <f>'INPUT1 - Veh Geometry'!$J$72+'INPUT1 - Veh Geometry'!$H$81</f>
        <v>789.8</v>
      </c>
      <c r="R40" s="10">
        <f t="shared" si="19"/>
        <v>789.8</v>
      </c>
      <c r="S40" s="10">
        <f t="shared" si="19"/>
        <v>789.8</v>
      </c>
      <c r="T40" s="7">
        <f t="shared" si="20"/>
        <v>0</v>
      </c>
      <c r="U40" s="48">
        <f>IF(ISNUMBER(K40),L40*K40*(O40-$D$262)/E,)</f>
        <v>0</v>
      </c>
      <c r="V40" s="3"/>
      <c r="W40" s="3"/>
      <c r="X40" s="3"/>
      <c r="Y40" s="503">
        <f t="shared" si="14"/>
        <v>0</v>
      </c>
      <c r="Z40" s="1" t="s">
        <v>334</v>
      </c>
      <c r="AA40" s="504"/>
      <c r="AB40" s="504" t="str">
        <f t="shared" ref="AB40:AB103" si="21">IF(B40&lt;&gt;0,B40,AB39)</f>
        <v>AILES</v>
      </c>
      <c r="AC40" s="504" t="str">
        <f t="shared" si="3"/>
        <v>Ailes arrière</v>
      </c>
      <c r="AD40" s="504" t="str">
        <f t="shared" si="4"/>
        <v/>
      </c>
      <c r="AE40" s="504" t="str">
        <f t="shared" si="5"/>
        <v xml:space="preserve">AILES / Ailes arrière  / </v>
      </c>
      <c r="AF40" s="504"/>
      <c r="AH40" t="s">
        <v>341</v>
      </c>
      <c r="AL40" t="s">
        <v>342</v>
      </c>
    </row>
    <row r="41" spans="2:41" ht="15" customHeight="1">
      <c r="B41" s="9" t="s">
        <v>343</v>
      </c>
      <c r="C41" s="8"/>
      <c r="D41" s="8"/>
      <c r="E41" s="8"/>
      <c r="F41" s="8" t="s">
        <v>344</v>
      </c>
      <c r="G41" s="8"/>
      <c r="H41" s="8"/>
      <c r="I41" s="29"/>
      <c r="K41" s="33"/>
      <c r="L41" s="22">
        <f>SUMPRODUCT(L42:L46,K42:K46)</f>
        <v>58.8</v>
      </c>
      <c r="M41" s="203"/>
      <c r="O41" s="33">
        <f>SUMPRODUCT($K42:$K46,$L42:$L46,O42:O46)/$L41</f>
        <v>1676.4965986394559</v>
      </c>
      <c r="P41" s="23">
        <f>SUMPRODUCT($K42:$K46,$L42:$L46,P42:P46)/$L41</f>
        <v>0</v>
      </c>
      <c r="Q41" s="23">
        <f>SUMPRODUCT($K42:$K46,$L42:$L46,Q42:Q46)/$L41</f>
        <v>486.55187074829939</v>
      </c>
      <c r="R41" s="23">
        <f t="shared" ref="R41:S41" si="22">SUMPRODUCT($K42:$K46,$L42:$L46,R42:R46)/$L41</f>
        <v>486.55187074829939</v>
      </c>
      <c r="S41" s="23">
        <f t="shared" si="22"/>
        <v>486.55187074829939</v>
      </c>
      <c r="T41" s="22" t="e">
        <f>SUM(T42:T46)</f>
        <v>#VALUE!</v>
      </c>
      <c r="U41" s="32">
        <f>SUMIF($K42:$K46,"&gt;0",$U42:$U46)</f>
        <v>38.286742424242426</v>
      </c>
      <c r="V41" s="3"/>
      <c r="W41" s="3"/>
      <c r="X41" s="3"/>
      <c r="Y41" s="503">
        <f t="shared" si="14"/>
        <v>0</v>
      </c>
      <c r="Z41" s="1" t="s">
        <v>345</v>
      </c>
      <c r="AA41" s="504"/>
      <c r="AB41" s="504" t="str">
        <f t="shared" si="21"/>
        <v>ASSISES</v>
      </c>
      <c r="AC41" s="504" t="str">
        <f t="shared" si="3"/>
        <v>Ailes arrière</v>
      </c>
      <c r="AD41" s="504" t="str">
        <f t="shared" si="4"/>
        <v/>
      </c>
      <c r="AE41" s="504" t="str">
        <f t="shared" si="5"/>
        <v xml:space="preserve">ASSISES / Ailes arrière  / </v>
      </c>
      <c r="AF41" s="504"/>
    </row>
    <row r="42" spans="2:41" ht="15" customHeight="1" outlineLevel="1">
      <c r="B42" s="47"/>
      <c r="C42" s="35" t="s">
        <v>346</v>
      </c>
      <c r="D42" s="35"/>
      <c r="E42" s="35"/>
      <c r="F42" s="35" t="s">
        <v>347</v>
      </c>
      <c r="G42" s="35"/>
      <c r="H42" s="35"/>
      <c r="I42" s="102"/>
      <c r="K42" s="42">
        <v>1</v>
      </c>
      <c r="L42" s="106">
        <v>25.3</v>
      </c>
      <c r="M42" s="202"/>
      <c r="O42" s="446">
        <f>'INPUT1 - Veh Geometry'!$H$49</f>
        <v>2130</v>
      </c>
      <c r="P42" s="10">
        <v>0</v>
      </c>
      <c r="Q42" s="10">
        <f>'INPUT1 - Veh Geometry'!$J$49+225</f>
        <v>614</v>
      </c>
      <c r="R42" s="10">
        <f t="shared" si="19"/>
        <v>614</v>
      </c>
      <c r="S42" s="10">
        <f t="shared" si="19"/>
        <v>614</v>
      </c>
      <c r="T42" s="7">
        <f t="shared" ref="T42:T46" si="23">L42*K42-U42</f>
        <v>4.4802083333333336</v>
      </c>
      <c r="U42" s="48">
        <f>IF(ISNUMBER(K42),L42*K42*(O42-$D$262)/E,)</f>
        <v>20.819791666666667</v>
      </c>
      <c r="V42" s="3"/>
      <c r="W42" s="3"/>
      <c r="X42" s="3"/>
      <c r="Y42" s="503">
        <f t="shared" si="14"/>
        <v>25.3</v>
      </c>
      <c r="Z42" s="1" t="s">
        <v>345</v>
      </c>
      <c r="AA42" s="504"/>
      <c r="AB42" s="504" t="str">
        <f t="shared" si="21"/>
        <v>ASSISES</v>
      </c>
      <c r="AC42" s="504" t="str">
        <f t="shared" si="3"/>
        <v>ASSISE AR RG2</v>
      </c>
      <c r="AD42" s="504" t="str">
        <f t="shared" si="4"/>
        <v/>
      </c>
      <c r="AE42" s="504" t="str">
        <f t="shared" si="5"/>
        <v xml:space="preserve">ASSISES / ASSISE AR RG2  / </v>
      </c>
      <c r="AF42" s="504"/>
      <c r="AH42" t="s">
        <v>348</v>
      </c>
      <c r="AL42" t="s">
        <v>349</v>
      </c>
    </row>
    <row r="43" spans="2:41" ht="15" customHeight="1" outlineLevel="1">
      <c r="B43" s="47"/>
      <c r="C43" s="35" t="s">
        <v>350</v>
      </c>
      <c r="D43" s="35"/>
      <c r="E43" s="35"/>
      <c r="F43" s="35" t="s">
        <v>351</v>
      </c>
      <c r="G43" s="35"/>
      <c r="H43" s="35"/>
      <c r="I43" s="102"/>
      <c r="K43" s="42"/>
      <c r="L43" s="106"/>
      <c r="M43" s="202"/>
      <c r="O43" s="446">
        <f>'INPUT1 - Veh Geometry'!$H$52</f>
        <v>0</v>
      </c>
      <c r="P43" s="10">
        <v>0</v>
      </c>
      <c r="Q43" s="10">
        <f>'INPUT1 - Veh Geometry'!$J$53-30</f>
        <v>-30</v>
      </c>
      <c r="R43" s="10">
        <f t="shared" si="19"/>
        <v>-30</v>
      </c>
      <c r="S43" s="10">
        <f t="shared" si="19"/>
        <v>-30</v>
      </c>
      <c r="T43" s="7">
        <f t="shared" si="23"/>
        <v>0</v>
      </c>
      <c r="U43" s="48">
        <f>IF(ISNUMBER(K43),L43*K43*(O43-$D$262)/E,)</f>
        <v>0</v>
      </c>
      <c r="V43" s="3"/>
      <c r="W43" s="3"/>
      <c r="X43" s="3"/>
      <c r="Y43" s="503">
        <f t="shared" si="14"/>
        <v>0</v>
      </c>
      <c r="Z43" s="1" t="s">
        <v>345</v>
      </c>
      <c r="AA43" s="504"/>
      <c r="AB43" s="504" t="str">
        <f t="shared" si="21"/>
        <v>ASSISES</v>
      </c>
      <c r="AC43" s="504" t="str">
        <f t="shared" si="3"/>
        <v>ASSISE AR RG3</v>
      </c>
      <c r="AD43" s="504" t="str">
        <f t="shared" si="4"/>
        <v/>
      </c>
      <c r="AE43" s="504" t="str">
        <f t="shared" si="5"/>
        <v xml:space="preserve">ASSISES / ASSISE AR RG3  / </v>
      </c>
      <c r="AF43" s="504"/>
    </row>
    <row r="44" spans="2:41" ht="15" customHeight="1" outlineLevel="1">
      <c r="B44" s="12"/>
      <c r="C44" s="11" t="s">
        <v>352</v>
      </c>
      <c r="D44" s="11"/>
      <c r="E44" s="11"/>
      <c r="F44" s="11" t="s">
        <v>353</v>
      </c>
      <c r="G44" s="11"/>
      <c r="H44" s="11"/>
      <c r="I44" s="27"/>
      <c r="K44" s="57" t="s">
        <v>354</v>
      </c>
      <c r="L44" s="57">
        <v>33.5</v>
      </c>
      <c r="M44" s="57"/>
      <c r="O44" s="57">
        <f>SUMPRODUCT($K45:$K46,$L45:$L46,O45:O46)/$L44</f>
        <v>1334</v>
      </c>
      <c r="P44" s="57">
        <f>SUMPRODUCT($K45:$K46,$L45:$L46,P45:P46)/$L44</f>
        <v>0</v>
      </c>
      <c r="Q44" s="57">
        <f>SUMPRODUCT($K45:$K46,$L45:$L46,Q45:Q46)/$L44</f>
        <v>390.3</v>
      </c>
      <c r="R44" s="57">
        <f t="shared" si="19"/>
        <v>390.3</v>
      </c>
      <c r="S44" s="57">
        <f t="shared" si="19"/>
        <v>390.3</v>
      </c>
      <c r="T44" s="57" t="e">
        <f t="shared" si="23"/>
        <v>#VALUE!</v>
      </c>
      <c r="U44" s="57">
        <f>IF(ISNUMBER(K44),L44*K44*(O44-$D$262)/E,)</f>
        <v>0</v>
      </c>
      <c r="V44" s="3"/>
      <c r="W44" s="3"/>
      <c r="X44" s="3"/>
      <c r="Y44" s="503">
        <f t="shared" si="14"/>
        <v>0</v>
      </c>
      <c r="Z44" s="1" t="s">
        <v>345</v>
      </c>
      <c r="AA44" s="504"/>
      <c r="AB44" s="504" t="str">
        <f t="shared" si="21"/>
        <v>ASSISES</v>
      </c>
      <c r="AC44" s="504" t="str">
        <f t="shared" si="3"/>
        <v>ASSISE AV</v>
      </c>
      <c r="AD44" s="504" t="str">
        <f t="shared" si="4"/>
        <v/>
      </c>
      <c r="AE44" s="504" t="str">
        <f t="shared" si="5"/>
        <v xml:space="preserve">ASSISES / ASSISE AV  / </v>
      </c>
      <c r="AF44" s="504"/>
    </row>
    <row r="45" spans="2:41" ht="15" customHeight="1" outlineLevel="2">
      <c r="B45" s="15"/>
      <c r="C45" s="14"/>
      <c r="D45" s="14" t="s">
        <v>355</v>
      </c>
      <c r="E45" s="14"/>
      <c r="F45" s="14" t="s">
        <v>356</v>
      </c>
      <c r="G45" s="14"/>
      <c r="H45" s="14"/>
      <c r="I45" s="28"/>
      <c r="K45" s="42">
        <v>1</v>
      </c>
      <c r="L45" s="106">
        <f>L44/2</f>
        <v>16.75</v>
      </c>
      <c r="M45" s="202"/>
      <c r="O45" s="446">
        <f>'INPUT1 - Veh Geometry'!$H$42</f>
        <v>1334</v>
      </c>
      <c r="P45" s="10">
        <f>'INPUT1 - Veh Geometry'!I42</f>
        <v>-355</v>
      </c>
      <c r="Q45" s="10">
        <f>'INPUT1 - Veh Geometry'!$J$42</f>
        <v>390.3</v>
      </c>
      <c r="R45" s="10">
        <f t="shared" si="19"/>
        <v>390.3</v>
      </c>
      <c r="S45" s="10">
        <f t="shared" si="19"/>
        <v>390.3</v>
      </c>
      <c r="T45" s="7">
        <f t="shared" si="23"/>
        <v>8.0165246212121204</v>
      </c>
      <c r="U45" s="48">
        <f>IF(ISNUMBER(K45),L45*K45*(O45-$D$262)/E,)</f>
        <v>8.7334753787878796</v>
      </c>
      <c r="V45" s="3"/>
      <c r="W45" s="3"/>
      <c r="X45" s="3"/>
      <c r="Y45" s="503">
        <f t="shared" si="14"/>
        <v>16.75</v>
      </c>
      <c r="Z45" s="1" t="s">
        <v>345</v>
      </c>
      <c r="AA45" s="504"/>
      <c r="AB45" s="504" t="str">
        <f t="shared" si="21"/>
        <v>ASSISES</v>
      </c>
      <c r="AC45" s="504" t="str">
        <f t="shared" si="3"/>
        <v>ASSISE AV</v>
      </c>
      <c r="AD45" s="504" t="str">
        <f t="shared" si="4"/>
        <v>Avant conducteur</v>
      </c>
      <c r="AE45" s="504" t="str">
        <f t="shared" si="5"/>
        <v>ASSISES / ASSISE AV  / Avant conducteur</v>
      </c>
      <c r="AF45" s="504"/>
      <c r="AH45" t="s">
        <v>357</v>
      </c>
      <c r="AL45" t="s">
        <v>358</v>
      </c>
    </row>
    <row r="46" spans="2:41" ht="16.149999999999999" customHeight="1" outlineLevel="2">
      <c r="B46" s="15"/>
      <c r="C46" s="14"/>
      <c r="D46" s="14" t="s">
        <v>359</v>
      </c>
      <c r="E46" s="14"/>
      <c r="F46" s="14" t="s">
        <v>360</v>
      </c>
      <c r="G46" s="14"/>
      <c r="H46" s="14"/>
      <c r="I46" s="28"/>
      <c r="K46" s="42">
        <v>1</v>
      </c>
      <c r="L46" s="106">
        <f>L44/2</f>
        <v>16.75</v>
      </c>
      <c r="M46" s="202"/>
      <c r="O46" s="446">
        <f>'INPUT1 - Veh Geometry'!$H$42</f>
        <v>1334</v>
      </c>
      <c r="P46" s="10">
        <f>-'INPUT1 - Veh Geometry'!I42</f>
        <v>355</v>
      </c>
      <c r="Q46" s="10">
        <f>'INPUT1 - Veh Geometry'!$J$42</f>
        <v>390.3</v>
      </c>
      <c r="R46" s="10">
        <f t="shared" si="19"/>
        <v>390.3</v>
      </c>
      <c r="S46" s="10">
        <f t="shared" si="19"/>
        <v>390.3</v>
      </c>
      <c r="T46" s="7">
        <f t="shared" si="23"/>
        <v>8.0165246212121204</v>
      </c>
      <c r="U46" s="48">
        <f>IF(ISNUMBER(K46),L46*K46*(O46-$D$262)/E,)</f>
        <v>8.7334753787878796</v>
      </c>
      <c r="V46" s="3"/>
      <c r="W46" s="3"/>
      <c r="X46" s="3"/>
      <c r="Y46" s="503">
        <f t="shared" si="14"/>
        <v>16.75</v>
      </c>
      <c r="Z46" s="1" t="s">
        <v>345</v>
      </c>
      <c r="AA46" s="504"/>
      <c r="AB46" s="504" t="str">
        <f t="shared" si="21"/>
        <v>ASSISES</v>
      </c>
      <c r="AC46" s="504" t="str">
        <f t="shared" si="3"/>
        <v>ASSISE AV</v>
      </c>
      <c r="AD46" s="504" t="str">
        <f t="shared" si="4"/>
        <v>Avant passager</v>
      </c>
      <c r="AE46" s="504" t="str">
        <f t="shared" si="5"/>
        <v>ASSISES / ASSISE AV  / Avant passager</v>
      </c>
      <c r="AF46" s="504"/>
      <c r="AH46" t="s">
        <v>361</v>
      </c>
      <c r="AL46" t="s">
        <v>362</v>
      </c>
      <c r="AO46" s="2"/>
    </row>
    <row r="47" spans="2:41" ht="15" customHeight="1">
      <c r="B47" s="9" t="s">
        <v>363</v>
      </c>
      <c r="C47" s="8"/>
      <c r="D47" s="8"/>
      <c r="E47" s="8"/>
      <c r="F47" s="8" t="s">
        <v>364</v>
      </c>
      <c r="G47" s="8"/>
      <c r="H47" s="8"/>
      <c r="I47" s="29"/>
      <c r="K47" s="33"/>
      <c r="L47" s="22">
        <f>SUMPRODUCT(K48:K49,L48:L49)</f>
        <v>12</v>
      </c>
      <c r="M47" s="203"/>
      <c r="O47" s="33">
        <f>SUMPRODUCT($K48:$K49,$L48:$L49,O48:O49)/$L47</f>
        <v>2661</v>
      </c>
      <c r="P47" s="23">
        <f>SUMPRODUCT($K48:$K49,$L48:$L49,P48:P49)/$L47</f>
        <v>143</v>
      </c>
      <c r="Q47" s="23">
        <f>SUMPRODUCT($K48:$K49,$L48:$L49,Q48:Q49)/$L47</f>
        <v>130</v>
      </c>
      <c r="R47" s="23">
        <f>SUMPRODUCT($K48:$K49,$L48:$L49,R48:R49)/$L47</f>
        <v>130</v>
      </c>
      <c r="S47" s="23">
        <f t="shared" ref="R8:S47" si="24">R47</f>
        <v>130</v>
      </c>
      <c r="T47" s="22">
        <f>SUM(T48:T49)</f>
        <v>-0.28863636363636402</v>
      </c>
      <c r="U47" s="32">
        <f>SUMIF($K48:$K49,"&gt;0",$U48:$U49)</f>
        <v>12.288636363636364</v>
      </c>
      <c r="V47" s="3"/>
      <c r="W47" s="3"/>
      <c r="X47" s="3"/>
      <c r="Y47" s="503">
        <f t="shared" si="14"/>
        <v>0</v>
      </c>
      <c r="Z47" s="1" t="s">
        <v>365</v>
      </c>
      <c r="AA47" s="504"/>
      <c r="AB47" s="504" t="str">
        <f t="shared" si="21"/>
        <v>BATTERIE 12V</v>
      </c>
      <c r="AC47" s="504" t="str">
        <f t="shared" si="3"/>
        <v>ASSISE AV</v>
      </c>
      <c r="AD47" s="504" t="str">
        <f t="shared" si="4"/>
        <v/>
      </c>
      <c r="AE47" s="504" t="str">
        <f t="shared" si="5"/>
        <v xml:space="preserve">BATTERIE 12V / ASSISE AV  / </v>
      </c>
      <c r="AF47" s="504"/>
      <c r="AO47" s="2"/>
    </row>
    <row r="48" spans="2:41" ht="15" customHeight="1" outlineLevel="1">
      <c r="B48" s="47"/>
      <c r="C48" s="35" t="s">
        <v>366</v>
      </c>
      <c r="D48" s="35"/>
      <c r="E48" s="35"/>
      <c r="F48" s="35" t="s">
        <v>367</v>
      </c>
      <c r="G48" s="35"/>
      <c r="H48" s="35"/>
      <c r="I48" s="102"/>
      <c r="K48" s="42">
        <v>1</v>
      </c>
      <c r="L48" s="106">
        <v>12</v>
      </c>
      <c r="M48" s="202"/>
      <c r="O48" s="446">
        <f>'INPUT1 - Veh Geometry'!$H$97</f>
        <v>2661</v>
      </c>
      <c r="P48" s="10">
        <f>'INPUT1 - Veh Geometry'!$I$97</f>
        <v>143</v>
      </c>
      <c r="Q48" s="10">
        <f>'INPUT1 - Veh Geometry'!$J$97</f>
        <v>130</v>
      </c>
      <c r="R48" s="10">
        <f t="shared" si="19"/>
        <v>130</v>
      </c>
      <c r="S48" s="10">
        <f t="shared" si="19"/>
        <v>130</v>
      </c>
      <c r="T48" s="7">
        <f t="shared" ref="T48:T49" si="25">L48*K48-U48</f>
        <v>-0.28863636363636402</v>
      </c>
      <c r="U48" s="48">
        <f>IF(ISNUMBER(K48),L48*K48*(O48-$D$262)/E,)</f>
        <v>12.288636363636364</v>
      </c>
      <c r="V48" s="3"/>
      <c r="W48" s="3"/>
      <c r="X48" s="3"/>
      <c r="Y48" s="503">
        <f t="shared" si="14"/>
        <v>12</v>
      </c>
      <c r="Z48" s="1" t="s">
        <v>368</v>
      </c>
      <c r="AA48" s="504"/>
      <c r="AB48" s="504" t="str">
        <f t="shared" si="21"/>
        <v>BATTERIE 12V</v>
      </c>
      <c r="AC48" s="504" t="str">
        <f t="shared" si="3"/>
        <v>Batterie démarrage</v>
      </c>
      <c r="AD48" s="504" t="str">
        <f t="shared" si="4"/>
        <v/>
      </c>
      <c r="AE48" s="504" t="str">
        <f t="shared" si="5"/>
        <v xml:space="preserve">BATTERIE 12V / Batterie démarrage  / </v>
      </c>
      <c r="AF48" s="504"/>
      <c r="AH48" t="s">
        <v>369</v>
      </c>
      <c r="AL48" t="s">
        <v>370</v>
      </c>
      <c r="AO48" s="2"/>
    </row>
    <row r="49" spans="2:41" ht="15" customHeight="1" outlineLevel="1">
      <c r="B49" s="47"/>
      <c r="C49" s="35" t="s">
        <v>371</v>
      </c>
      <c r="D49" s="35"/>
      <c r="E49" s="35"/>
      <c r="F49" s="35" t="s">
        <v>372</v>
      </c>
      <c r="G49" s="35"/>
      <c r="H49" s="35"/>
      <c r="I49" s="102"/>
      <c r="K49" s="42"/>
      <c r="L49" s="106"/>
      <c r="M49" s="202"/>
      <c r="O49" s="446">
        <f>'INPUT1 - Veh Geometry'!$H$57</f>
        <v>2750</v>
      </c>
      <c r="P49" s="10">
        <f>'INPUT1 - Veh Geometry'!$I$57</f>
        <v>0</v>
      </c>
      <c r="Q49" s="10">
        <f>'INPUT1 - Veh Geometry'!$J$57</f>
        <v>625</v>
      </c>
      <c r="R49" s="10">
        <f t="shared" si="19"/>
        <v>625</v>
      </c>
      <c r="S49" s="10">
        <f t="shared" si="19"/>
        <v>625</v>
      </c>
      <c r="T49" s="7">
        <f t="shared" si="25"/>
        <v>0</v>
      </c>
      <c r="U49" s="48">
        <f>IF(ISNUMBER(K49),L49*K49*(O49-$D$262)/E,)</f>
        <v>0</v>
      </c>
      <c r="V49" s="3"/>
      <c r="W49" s="3"/>
      <c r="X49" s="3"/>
      <c r="Y49" s="503">
        <f t="shared" si="14"/>
        <v>0</v>
      </c>
      <c r="Z49" s="1" t="s">
        <v>365</v>
      </c>
      <c r="AA49" s="504"/>
      <c r="AB49" s="504" t="str">
        <f t="shared" si="21"/>
        <v>BATTERIE 12V</v>
      </c>
      <c r="AC49" s="504" t="str">
        <f t="shared" si="3"/>
        <v>Batterie additionnelle</v>
      </c>
      <c r="AD49" s="504" t="str">
        <f t="shared" si="4"/>
        <v/>
      </c>
      <c r="AE49" s="504" t="str">
        <f t="shared" si="5"/>
        <v xml:space="preserve">BATTERIE 12V / Batterie additionnelle  / </v>
      </c>
      <c r="AF49" s="504"/>
      <c r="AH49" t="s">
        <v>373</v>
      </c>
      <c r="AL49" t="s">
        <v>374</v>
      </c>
      <c r="AO49" s="2"/>
    </row>
    <row r="50" spans="2:41" ht="15" customHeight="1">
      <c r="B50" s="9" t="s">
        <v>375</v>
      </c>
      <c r="C50" s="8"/>
      <c r="D50" s="8"/>
      <c r="E50" s="8"/>
      <c r="F50" s="8" t="s">
        <v>376</v>
      </c>
      <c r="G50" s="8"/>
      <c r="H50" s="8"/>
      <c r="I50" s="29"/>
      <c r="K50" s="33"/>
      <c r="L50" s="22">
        <f>SUMPRODUCT(K51:K61,L51:L61)</f>
        <v>14.4</v>
      </c>
      <c r="M50" s="203"/>
      <c r="O50" s="33">
        <f>SUMPRODUCT($K51:$K61,$L51:$L61,O51:O61)/$L50</f>
        <v>1328</v>
      </c>
      <c r="P50" s="23">
        <f>SUMPRODUCT($K51:$K61,$L51:$L61,P51:P61)/$L50</f>
        <v>75.666666666666657</v>
      </c>
      <c r="Q50" s="23">
        <f>SUMPRODUCT($K51:$K61,$L51:$L61,Q51:Q61)/$L50</f>
        <v>-13.916666666666664</v>
      </c>
      <c r="R50" s="23">
        <f t="shared" ref="R50:S50" si="26">SUMPRODUCT($K51:$K61,$L51:$L61,R51:R61)/$L50</f>
        <v>-13.916666666666664</v>
      </c>
      <c r="S50" s="23">
        <f t="shared" si="26"/>
        <v>-13.916666666666664</v>
      </c>
      <c r="T50" s="22">
        <f>SUM(T51:T61)</f>
        <v>6.9245454545454548</v>
      </c>
      <c r="U50" s="32">
        <f>SUMIF($K51:$K61,"&gt;0",$U51:$U61)</f>
        <v>7.4754545454545456</v>
      </c>
      <c r="V50" s="3"/>
      <c r="W50" s="3"/>
      <c r="X50" s="3"/>
      <c r="Y50" s="503">
        <f t="shared" si="14"/>
        <v>0</v>
      </c>
      <c r="Z50" s="1" t="s">
        <v>365</v>
      </c>
      <c r="AA50" s="504"/>
      <c r="AB50" s="504" t="str">
        <f t="shared" si="21"/>
        <v>BATTERIE DE TRACTION</v>
      </c>
      <c r="AC50" s="504" t="str">
        <f t="shared" si="3"/>
        <v>Batterie additionnelle</v>
      </c>
      <c r="AD50" s="504" t="str">
        <f t="shared" si="4"/>
        <v/>
      </c>
      <c r="AE50" s="504" t="str">
        <f t="shared" si="5"/>
        <v xml:space="preserve">BATTERIE DE TRACTION / Batterie additionnelle  / </v>
      </c>
      <c r="AF50" s="504"/>
      <c r="AO50" s="2"/>
    </row>
    <row r="51" spans="2:41" ht="15" customHeight="1" outlineLevel="1">
      <c r="B51" s="47"/>
      <c r="C51" s="35" t="s">
        <v>377</v>
      </c>
      <c r="D51" s="35"/>
      <c r="E51" s="35"/>
      <c r="F51" s="35" t="s">
        <v>377</v>
      </c>
      <c r="G51" s="35"/>
      <c r="H51" s="35"/>
      <c r="I51" s="102"/>
      <c r="K51" s="42">
        <v>1</v>
      </c>
      <c r="L51" s="106">
        <v>12</v>
      </c>
      <c r="M51" s="202"/>
      <c r="O51" s="446">
        <f>'INPUT1 - Veh Geometry'!H$93</f>
        <v>1331</v>
      </c>
      <c r="P51" s="10">
        <f>'INPUT1 - Veh Geometry'!I$93</f>
        <v>26</v>
      </c>
      <c r="Q51" s="10">
        <f>'INPUT1 - Veh Geometry'!J$93</f>
        <v>-9.5</v>
      </c>
      <c r="R51" s="10">
        <f t="shared" si="19"/>
        <v>-9.5</v>
      </c>
      <c r="S51" s="10">
        <f t="shared" si="19"/>
        <v>-9.5</v>
      </c>
      <c r="T51" s="7">
        <f t="shared" ref="T51:T56" si="27">L51*K51-U51</f>
        <v>5.7568181818181818</v>
      </c>
      <c r="U51" s="48">
        <f t="shared" ref="U51:U61" si="28">IF(ISNUMBER(K51),L51*K51*(O51-$D$262)/E,)</f>
        <v>6.2431818181818182</v>
      </c>
      <c r="V51" s="3"/>
      <c r="W51" s="3"/>
      <c r="X51" s="3"/>
      <c r="Y51" s="503">
        <f t="shared" si="14"/>
        <v>12</v>
      </c>
      <c r="Z51" s="1" t="s">
        <v>368</v>
      </c>
      <c r="AA51" s="504"/>
      <c r="AB51" s="504" t="str">
        <f t="shared" si="21"/>
        <v>BATTERIE DE TRACTION</v>
      </c>
      <c r="AC51" s="504" t="str">
        <f t="shared" si="3"/>
        <v>Système batterie traction</v>
      </c>
      <c r="AD51" s="504" t="str">
        <f t="shared" si="4"/>
        <v/>
      </c>
      <c r="AE51" s="504" t="str">
        <f t="shared" si="5"/>
        <v xml:space="preserve">BATTERIE DE TRACTION / Système batterie traction  / </v>
      </c>
      <c r="AF51" s="504"/>
      <c r="AH51" t="s">
        <v>369</v>
      </c>
      <c r="AL51" t="s">
        <v>370</v>
      </c>
      <c r="AO51" s="2"/>
    </row>
    <row r="52" spans="2:41" ht="15" customHeight="1" outlineLevel="1">
      <c r="B52" s="15"/>
      <c r="C52" s="14"/>
      <c r="D52" s="14" t="s">
        <v>378</v>
      </c>
      <c r="E52" s="14"/>
      <c r="F52" s="14"/>
      <c r="G52" s="14" t="s">
        <v>379</v>
      </c>
      <c r="H52" s="14"/>
      <c r="I52" s="28"/>
      <c r="K52" s="42"/>
      <c r="L52" s="106"/>
      <c r="M52" s="202"/>
      <c r="O52" s="446">
        <f>'INPUT1 - Veh Geometry'!H$93</f>
        <v>1331</v>
      </c>
      <c r="P52" s="10">
        <f>'INPUT1 - Veh Geometry'!I$93</f>
        <v>26</v>
      </c>
      <c r="Q52" s="10">
        <f>'INPUT1 - Veh Geometry'!J$93</f>
        <v>-9.5</v>
      </c>
      <c r="R52" s="10">
        <f t="shared" si="19"/>
        <v>-9.5</v>
      </c>
      <c r="S52" s="10">
        <f t="shared" si="19"/>
        <v>-9.5</v>
      </c>
      <c r="T52" s="7">
        <f>L52*K52-U52</f>
        <v>0</v>
      </c>
      <c r="U52" s="48">
        <f t="shared" si="28"/>
        <v>0</v>
      </c>
      <c r="V52" s="3"/>
      <c r="W52" s="3"/>
      <c r="X52" s="3"/>
      <c r="Y52" s="503">
        <f t="shared" si="14"/>
        <v>0</v>
      </c>
      <c r="Z52" s="1" t="s">
        <v>380</v>
      </c>
      <c r="AA52" s="504"/>
      <c r="AB52" s="504" t="str">
        <f t="shared" si="21"/>
        <v>BATTERIE DE TRACTION</v>
      </c>
      <c r="AC52" s="504" t="str">
        <f t="shared" si="3"/>
        <v>Système batterie traction</v>
      </c>
      <c r="AD52" s="504" t="str">
        <f t="shared" si="4"/>
        <v>Bac batterie</v>
      </c>
      <c r="AE52" s="504" t="str">
        <f t="shared" si="5"/>
        <v>BATTERIE DE TRACTION / Système batterie traction  / Bac batterie</v>
      </c>
      <c r="AF52" s="504"/>
      <c r="AH52" t="s">
        <v>381</v>
      </c>
      <c r="AL52" t="s">
        <v>382</v>
      </c>
    </row>
    <row r="53" spans="2:41" ht="15" customHeight="1" outlineLevel="1">
      <c r="B53" s="15"/>
      <c r="C53" s="14"/>
      <c r="D53" s="14" t="s">
        <v>383</v>
      </c>
      <c r="E53" s="14"/>
      <c r="F53" s="14"/>
      <c r="G53" s="14" t="s">
        <v>383</v>
      </c>
      <c r="H53" s="14"/>
      <c r="I53" s="28"/>
      <c r="K53" s="42"/>
      <c r="L53" s="106"/>
      <c r="M53" s="202"/>
      <c r="O53" s="446">
        <f>'INPUT1 - Veh Geometry'!H$93</f>
        <v>1331</v>
      </c>
      <c r="P53" s="10">
        <f>'INPUT1 - Veh Geometry'!I$93</f>
        <v>26</v>
      </c>
      <c r="Q53" s="10">
        <f>'INPUT1 - Veh Geometry'!J$93</f>
        <v>-9.5</v>
      </c>
      <c r="R53" s="10">
        <f t="shared" si="19"/>
        <v>-9.5</v>
      </c>
      <c r="S53" s="10">
        <f t="shared" si="19"/>
        <v>-9.5</v>
      </c>
      <c r="T53" s="7">
        <f>L53*K53-U53</f>
        <v>0</v>
      </c>
      <c r="U53" s="48">
        <f t="shared" si="28"/>
        <v>0</v>
      </c>
      <c r="V53" s="3"/>
      <c r="W53" s="3"/>
      <c r="X53" s="3"/>
      <c r="Y53" s="503">
        <f t="shared" si="14"/>
        <v>0</v>
      </c>
      <c r="Z53" s="1" t="s">
        <v>384</v>
      </c>
      <c r="AA53" s="504"/>
      <c r="AB53" s="504" t="str">
        <f t="shared" si="21"/>
        <v>BATTERIE DE TRACTION</v>
      </c>
      <c r="AC53" s="504" t="str">
        <f t="shared" si="3"/>
        <v>Système batterie traction</v>
      </c>
      <c r="AD53" s="504" t="str">
        <f t="shared" si="4"/>
        <v>modules</v>
      </c>
      <c r="AE53" s="504" t="str">
        <f t="shared" si="5"/>
        <v>BATTERIE DE TRACTION / Système batterie traction  / modules</v>
      </c>
      <c r="AF53" s="504"/>
      <c r="AH53" t="s">
        <v>385</v>
      </c>
      <c r="AL53" t="s">
        <v>386</v>
      </c>
    </row>
    <row r="54" spans="2:41" ht="15" customHeight="1" outlineLevel="1">
      <c r="B54" s="15"/>
      <c r="C54" s="14"/>
      <c r="D54" s="14" t="s">
        <v>387</v>
      </c>
      <c r="E54" s="14"/>
      <c r="F54" s="14"/>
      <c r="G54" s="14" t="s">
        <v>388</v>
      </c>
      <c r="H54" s="14"/>
      <c r="I54" s="28"/>
      <c r="K54" s="42"/>
      <c r="L54" s="106"/>
      <c r="M54" s="202"/>
      <c r="O54" s="446">
        <f>'INPUT1 - Veh Geometry'!H$93</f>
        <v>1331</v>
      </c>
      <c r="P54" s="10">
        <f>'INPUT1 - Veh Geometry'!I$93</f>
        <v>26</v>
      </c>
      <c r="Q54" s="10">
        <f>'INPUT1 - Veh Geometry'!J$93</f>
        <v>-9.5</v>
      </c>
      <c r="R54" s="10">
        <f t="shared" si="19"/>
        <v>-9.5</v>
      </c>
      <c r="S54" s="10">
        <f t="shared" si="19"/>
        <v>-9.5</v>
      </c>
      <c r="T54" s="7">
        <f>L54*K54-U54</f>
        <v>0</v>
      </c>
      <c r="U54" s="48">
        <f t="shared" si="28"/>
        <v>0</v>
      </c>
      <c r="V54" s="3"/>
      <c r="W54" s="3"/>
      <c r="X54" s="3"/>
      <c r="Y54" s="503">
        <f t="shared" si="14"/>
        <v>0</v>
      </c>
      <c r="Z54" s="1" t="s">
        <v>384</v>
      </c>
      <c r="AA54" s="504"/>
      <c r="AB54" s="504" t="str">
        <f t="shared" si="21"/>
        <v>BATTERIE DE TRACTION</v>
      </c>
      <c r="AC54" s="504" t="str">
        <f t="shared" si="3"/>
        <v>Système batterie traction</v>
      </c>
      <c r="AD54" s="504" t="str">
        <f t="shared" si="4"/>
        <v>autres: bus bar, refri, BMS…</v>
      </c>
      <c r="AE54" s="504" t="str">
        <f t="shared" si="5"/>
        <v>BATTERIE DE TRACTION / Système batterie traction  / autres: bus bar, refri, BMS…</v>
      </c>
      <c r="AF54" s="504"/>
      <c r="AH54" t="s">
        <v>389</v>
      </c>
      <c r="AL54" t="s">
        <v>390</v>
      </c>
    </row>
    <row r="55" spans="2:41" ht="15" customHeight="1" outlineLevel="1">
      <c r="B55" s="15"/>
      <c r="C55" s="14"/>
      <c r="D55" s="14" t="s">
        <v>391</v>
      </c>
      <c r="E55" s="14"/>
      <c r="F55" s="14" t="s">
        <v>392</v>
      </c>
      <c r="G55" s="14"/>
      <c r="H55" s="14"/>
      <c r="I55" s="28"/>
      <c r="K55" s="42">
        <v>1</v>
      </c>
      <c r="L55" s="106">
        <v>2.4</v>
      </c>
      <c r="M55" s="202"/>
      <c r="O55" s="446">
        <f>'INPUT1 - Veh Geometry'!H$95</f>
        <v>1313</v>
      </c>
      <c r="P55" s="10">
        <f>'INPUT1 - Veh Geometry'!I$95</f>
        <v>324</v>
      </c>
      <c r="Q55" s="10">
        <f>'INPUT1 - Veh Geometry'!J$95</f>
        <v>-36</v>
      </c>
      <c r="R55" s="10">
        <f t="shared" ref="R55:S70" si="29">$Q55</f>
        <v>-36</v>
      </c>
      <c r="S55" s="10">
        <f t="shared" si="29"/>
        <v>-36</v>
      </c>
      <c r="T55" s="7">
        <f>L55*K55-U55</f>
        <v>1.1677272727272727</v>
      </c>
      <c r="U55" s="48">
        <f t="shared" si="28"/>
        <v>1.2322727272727272</v>
      </c>
      <c r="V55" s="3"/>
      <c r="W55" s="3"/>
      <c r="X55" s="3"/>
      <c r="Y55" s="503">
        <f t="shared" si="14"/>
        <v>2.4</v>
      </c>
      <c r="Z55" s="1" t="s">
        <v>368</v>
      </c>
      <c r="AA55" s="504"/>
      <c r="AB55" s="504" t="str">
        <f t="shared" si="21"/>
        <v>BATTERIE DE TRACTION</v>
      </c>
      <c r="AC55" s="504" t="str">
        <f t="shared" si="3"/>
        <v>Système batterie traction</v>
      </c>
      <c r="AD55" s="504" t="str">
        <f t="shared" si="4"/>
        <v xml:space="preserve">Convertisseur DC-DC </v>
      </c>
      <c r="AE55" s="504" t="str">
        <f t="shared" si="5"/>
        <v xml:space="preserve">BATTERIE DE TRACTION / Système batterie traction  / Convertisseur DC-DC </v>
      </c>
      <c r="AF55" s="504"/>
      <c r="AH55" t="s">
        <v>393</v>
      </c>
      <c r="AL55" t="s">
        <v>394</v>
      </c>
    </row>
    <row r="56" spans="2:41" ht="15" customHeight="1">
      <c r="B56" s="47"/>
      <c r="C56" s="35" t="s">
        <v>395</v>
      </c>
      <c r="D56" s="35"/>
      <c r="E56" s="35"/>
      <c r="F56" s="35" t="s">
        <v>396</v>
      </c>
      <c r="G56" s="35"/>
      <c r="H56" s="35"/>
      <c r="I56" s="102"/>
      <c r="K56" s="42"/>
      <c r="L56" s="106"/>
      <c r="M56" s="202"/>
      <c r="O56" s="446">
        <f>'INPUT1 - Veh Geometry'!H$94</f>
        <v>0</v>
      </c>
      <c r="P56" s="10">
        <f>'INPUT1 - Veh Geometry'!I$94</f>
        <v>0</v>
      </c>
      <c r="Q56" s="10">
        <f>'INPUT1 - Veh Geometry'!J$94</f>
        <v>0</v>
      </c>
      <c r="R56" s="10">
        <f t="shared" si="29"/>
        <v>0</v>
      </c>
      <c r="S56" s="10">
        <f t="shared" si="29"/>
        <v>0</v>
      </c>
      <c r="T56" s="7">
        <f t="shared" si="27"/>
        <v>0</v>
      </c>
      <c r="U56" s="48">
        <f t="shared" si="28"/>
        <v>0</v>
      </c>
      <c r="V56" s="3"/>
      <c r="W56" s="3"/>
      <c r="X56" s="3"/>
      <c r="Y56" s="503">
        <f t="shared" si="14"/>
        <v>0</v>
      </c>
      <c r="Z56" s="1" t="s">
        <v>368</v>
      </c>
      <c r="AA56" s="504"/>
      <c r="AB56" s="504" t="str">
        <f t="shared" si="21"/>
        <v>BATTERIE DE TRACTION</v>
      </c>
      <c r="AC56" s="504" t="str">
        <f t="shared" si="3"/>
        <v>Système module de charge HT</v>
      </c>
      <c r="AD56" s="504" t="str">
        <f t="shared" si="4"/>
        <v/>
      </c>
      <c r="AE56" s="504" t="str">
        <f t="shared" si="5"/>
        <v xml:space="preserve">BATTERIE DE TRACTION / Système module de charge HT  / </v>
      </c>
      <c r="AF56" s="504"/>
      <c r="AH56" t="s">
        <v>369</v>
      </c>
      <c r="AL56" t="s">
        <v>370</v>
      </c>
      <c r="AO56" s="2"/>
    </row>
    <row r="57" spans="2:41" ht="15" customHeight="1" outlineLevel="1">
      <c r="B57" s="47"/>
      <c r="C57" s="35" t="s">
        <v>397</v>
      </c>
      <c r="D57" s="35"/>
      <c r="E57" s="35"/>
      <c r="F57" s="35" t="s">
        <v>397</v>
      </c>
      <c r="G57" s="35"/>
      <c r="H57" s="35"/>
      <c r="I57" s="102"/>
      <c r="K57" s="42"/>
      <c r="L57" s="106"/>
      <c r="M57" s="202"/>
      <c r="O57" s="446">
        <f>'INPUT1 - Veh Geometry'!$H$97</f>
        <v>2661</v>
      </c>
      <c r="P57" s="10">
        <f>'INPUT1 - Veh Geometry'!$I$109</f>
        <v>-280</v>
      </c>
      <c r="Q57" s="10">
        <f>'INPUT1 - Veh Geometry'!$J$97</f>
        <v>130</v>
      </c>
      <c r="R57" s="10">
        <f t="shared" si="29"/>
        <v>130</v>
      </c>
      <c r="S57" s="10">
        <f t="shared" si="29"/>
        <v>130</v>
      </c>
      <c r="T57" s="7">
        <f>L57*K57-U57</f>
        <v>0</v>
      </c>
      <c r="U57" s="48">
        <f t="shared" si="28"/>
        <v>0</v>
      </c>
      <c r="V57" s="3"/>
      <c r="W57" s="3"/>
      <c r="X57" s="3"/>
      <c r="Y57" s="503">
        <f t="shared" si="14"/>
        <v>0</v>
      </c>
      <c r="Z57" s="1" t="s">
        <v>368</v>
      </c>
      <c r="AA57" s="504"/>
      <c r="AB57" s="504" t="str">
        <f t="shared" si="21"/>
        <v>BATTERIE DE TRACTION</v>
      </c>
      <c r="AC57" s="504" t="str">
        <f t="shared" si="3"/>
        <v>Durite de ventilation module charge HT</v>
      </c>
      <c r="AD57" s="504" t="str">
        <f t="shared" si="4"/>
        <v/>
      </c>
      <c r="AE57" s="504" t="str">
        <f t="shared" si="5"/>
        <v xml:space="preserve">BATTERIE DE TRACTION / Durite de ventilation module charge HT  / </v>
      </c>
      <c r="AF57" s="504"/>
      <c r="AH57" t="s">
        <v>369</v>
      </c>
      <c r="AL57" t="s">
        <v>370</v>
      </c>
      <c r="AO57" s="2"/>
    </row>
    <row r="58" spans="2:41" ht="15" customHeight="1" outlineLevel="1">
      <c r="B58" s="47"/>
      <c r="C58" s="35" t="s">
        <v>398</v>
      </c>
      <c r="D58" s="35"/>
      <c r="E58" s="35"/>
      <c r="F58" s="35" t="s">
        <v>398</v>
      </c>
      <c r="G58" s="35"/>
      <c r="H58" s="35"/>
      <c r="I58" s="102"/>
      <c r="K58" s="42"/>
      <c r="L58" s="106"/>
      <c r="M58" s="202"/>
      <c r="O58" s="446">
        <f>'INPUT1 - Veh Geometry'!$H$97</f>
        <v>2661</v>
      </c>
      <c r="P58" s="10">
        <f>'INPUT1 - Veh Geometry'!$I$109</f>
        <v>-280</v>
      </c>
      <c r="Q58" s="10">
        <f>'INPUT1 - Veh Geometry'!$J$97</f>
        <v>130</v>
      </c>
      <c r="R58" s="10">
        <f t="shared" si="29"/>
        <v>130</v>
      </c>
      <c r="S58" s="10">
        <f t="shared" si="29"/>
        <v>130</v>
      </c>
      <c r="T58" s="7">
        <f>L58*K58-U58</f>
        <v>0</v>
      </c>
      <c r="U58" s="48">
        <f t="shared" si="28"/>
        <v>0</v>
      </c>
      <c r="V58" s="3"/>
      <c r="W58" s="3"/>
      <c r="X58" s="3"/>
      <c r="Y58" s="503">
        <f t="shared" si="14"/>
        <v>0</v>
      </c>
      <c r="Z58" s="1" t="s">
        <v>368</v>
      </c>
      <c r="AA58" s="504"/>
      <c r="AB58" s="504" t="str">
        <f t="shared" si="21"/>
        <v>BATTERIE DE TRACTION</v>
      </c>
      <c r="AC58" s="504" t="str">
        <f t="shared" si="3"/>
        <v>Calculateur gestion batterie HT</v>
      </c>
      <c r="AD58" s="504" t="str">
        <f t="shared" si="4"/>
        <v/>
      </c>
      <c r="AE58" s="504" t="str">
        <f t="shared" si="5"/>
        <v xml:space="preserve">BATTERIE DE TRACTION / Calculateur gestion batterie HT  / </v>
      </c>
      <c r="AF58" s="504"/>
      <c r="AH58" t="s">
        <v>369</v>
      </c>
      <c r="AL58" t="s">
        <v>370</v>
      </c>
      <c r="AO58" s="2"/>
    </row>
    <row r="59" spans="2:41" ht="15" customHeight="1" outlineLevel="1">
      <c r="B59" s="47"/>
      <c r="C59" s="35" t="s">
        <v>399</v>
      </c>
      <c r="D59" s="35"/>
      <c r="E59" s="35"/>
      <c r="F59" s="35" t="s">
        <v>399</v>
      </c>
      <c r="G59" s="35"/>
      <c r="H59" s="35"/>
      <c r="I59" s="102"/>
      <c r="K59" s="42"/>
      <c r="L59" s="106"/>
      <c r="M59" s="202"/>
      <c r="O59" s="446">
        <f>'INPUT1 - Veh Geometry'!$H$97</f>
        <v>2661</v>
      </c>
      <c r="P59" s="10">
        <f>'INPUT1 - Veh Geometry'!$I$109</f>
        <v>-280</v>
      </c>
      <c r="Q59" s="10">
        <f>'INPUT1 - Veh Geometry'!$J$97</f>
        <v>130</v>
      </c>
      <c r="R59" s="10">
        <f t="shared" si="29"/>
        <v>130</v>
      </c>
      <c r="S59" s="10">
        <f t="shared" si="29"/>
        <v>130</v>
      </c>
      <c r="T59" s="7">
        <f>L59*K59-U59</f>
        <v>0</v>
      </c>
      <c r="U59" s="48">
        <f t="shared" si="28"/>
        <v>0</v>
      </c>
      <c r="V59" s="3"/>
      <c r="W59" s="3"/>
      <c r="X59" s="3"/>
      <c r="Y59" s="503">
        <f t="shared" si="14"/>
        <v>0</v>
      </c>
      <c r="Z59" s="1" t="s">
        <v>368</v>
      </c>
      <c r="AA59" s="504"/>
      <c r="AB59" s="504" t="str">
        <f t="shared" si="21"/>
        <v>BATTERIE DE TRACTION</v>
      </c>
      <c r="AC59" s="504" t="str">
        <f t="shared" si="3"/>
        <v>Second support module charge HT</v>
      </c>
      <c r="AD59" s="504" t="str">
        <f t="shared" si="4"/>
        <v/>
      </c>
      <c r="AE59" s="504" t="str">
        <f t="shared" si="5"/>
        <v xml:space="preserve">BATTERIE DE TRACTION / Second support module charge HT  / </v>
      </c>
      <c r="AF59" s="504"/>
      <c r="AH59" t="s">
        <v>369</v>
      </c>
      <c r="AL59" t="s">
        <v>370</v>
      </c>
      <c r="AO59" s="2"/>
    </row>
    <row r="60" spans="2:41" ht="15" customHeight="1" outlineLevel="1">
      <c r="B60" s="47"/>
      <c r="C60" s="35" t="s">
        <v>400</v>
      </c>
      <c r="D60" s="35"/>
      <c r="E60" s="35"/>
      <c r="F60" s="35" t="s">
        <v>400</v>
      </c>
      <c r="G60" s="35"/>
      <c r="H60" s="35"/>
      <c r="I60" s="102"/>
      <c r="K60" s="42"/>
      <c r="L60" s="106"/>
      <c r="M60" s="202"/>
      <c r="O60" s="446">
        <f>'INPUT1 - Veh Geometry'!$H$97</f>
        <v>2661</v>
      </c>
      <c r="P60" s="10">
        <f>'INPUT1 - Veh Geometry'!$I$109</f>
        <v>-280</v>
      </c>
      <c r="Q60" s="10">
        <f>'INPUT1 - Veh Geometry'!$J$97</f>
        <v>130</v>
      </c>
      <c r="R60" s="10">
        <f t="shared" si="29"/>
        <v>130</v>
      </c>
      <c r="S60" s="10">
        <f t="shared" si="29"/>
        <v>130</v>
      </c>
      <c r="T60" s="7">
        <f>L60*K60-U60</f>
        <v>0</v>
      </c>
      <c r="U60" s="48">
        <f t="shared" si="28"/>
        <v>0</v>
      </c>
      <c r="V60" s="3"/>
      <c r="W60" s="3"/>
      <c r="X60" s="3"/>
      <c r="Y60" s="503">
        <f t="shared" si="14"/>
        <v>0</v>
      </c>
      <c r="Z60" s="1" t="s">
        <v>368</v>
      </c>
      <c r="AA60" s="504"/>
      <c r="AB60" s="504" t="str">
        <f t="shared" si="21"/>
        <v>BATTERIE DE TRACTION</v>
      </c>
      <c r="AC60" s="504" t="str">
        <f t="shared" si="3"/>
        <v>Support calculateur gestion batterie HT</v>
      </c>
      <c r="AD60" s="504" t="str">
        <f t="shared" si="4"/>
        <v/>
      </c>
      <c r="AE60" s="504" t="str">
        <f t="shared" si="5"/>
        <v xml:space="preserve">BATTERIE DE TRACTION / Support calculateur gestion batterie HT  / </v>
      </c>
      <c r="AF60" s="504"/>
      <c r="AH60" t="s">
        <v>369</v>
      </c>
      <c r="AL60" t="s">
        <v>370</v>
      </c>
      <c r="AO60" s="2"/>
    </row>
    <row r="61" spans="2:41" ht="15" customHeight="1" outlineLevel="1">
      <c r="B61" s="47"/>
      <c r="C61" s="35" t="s">
        <v>401</v>
      </c>
      <c r="D61" s="35"/>
      <c r="E61" s="35"/>
      <c r="F61" s="35" t="s">
        <v>401</v>
      </c>
      <c r="G61" s="35"/>
      <c r="H61" s="35"/>
      <c r="I61" s="102"/>
      <c r="K61" s="42"/>
      <c r="L61" s="106"/>
      <c r="M61" s="202"/>
      <c r="O61" s="446">
        <f>'INPUT1 - Veh Geometry'!$H$57</f>
        <v>2750</v>
      </c>
      <c r="P61" s="10">
        <f>'INPUT1 - Veh Geometry'!$I$57</f>
        <v>0</v>
      </c>
      <c r="Q61" s="10">
        <f>'INPUT1 - Veh Geometry'!$J$57</f>
        <v>625</v>
      </c>
      <c r="R61" s="10">
        <f t="shared" si="29"/>
        <v>625</v>
      </c>
      <c r="S61" s="10">
        <f t="shared" si="29"/>
        <v>625</v>
      </c>
      <c r="T61" s="7">
        <f>L61*K61-U61</f>
        <v>0</v>
      </c>
      <c r="U61" s="48">
        <f t="shared" si="28"/>
        <v>0</v>
      </c>
      <c r="V61" s="3"/>
      <c r="W61" s="3"/>
      <c r="X61" s="3"/>
      <c r="Y61" s="503">
        <f t="shared" si="14"/>
        <v>0</v>
      </c>
      <c r="Z61" s="1" t="s">
        <v>365</v>
      </c>
      <c r="AA61" s="504"/>
      <c r="AB61" s="504" t="str">
        <f t="shared" si="21"/>
        <v>BATTERIE DE TRACTION</v>
      </c>
      <c r="AC61" s="504" t="str">
        <f t="shared" si="3"/>
        <v>Deuxiéme support calculateur gestion batterie HT</v>
      </c>
      <c r="AD61" s="504" t="str">
        <f t="shared" si="4"/>
        <v/>
      </c>
      <c r="AE61" s="504" t="str">
        <f t="shared" si="5"/>
        <v xml:space="preserve">BATTERIE DE TRACTION / Deuxiéme support calculateur gestion batterie HT  / </v>
      </c>
      <c r="AF61" s="504"/>
      <c r="AH61" t="s">
        <v>373</v>
      </c>
      <c r="AL61" t="s">
        <v>374</v>
      </c>
      <c r="AO61" s="2"/>
    </row>
    <row r="62" spans="2:41" ht="15" customHeight="1">
      <c r="B62" s="9" t="s">
        <v>402</v>
      </c>
      <c r="C62" s="8"/>
      <c r="D62" s="8"/>
      <c r="E62" s="8"/>
      <c r="F62" s="8" t="s">
        <v>403</v>
      </c>
      <c r="G62" s="8"/>
      <c r="H62" s="8"/>
      <c r="I62" s="29"/>
      <c r="K62" s="33"/>
      <c r="L62" s="22">
        <f>SUMPRODUCT(K63:K64,L63:L64)</f>
        <v>6.6</v>
      </c>
      <c r="M62" s="203"/>
      <c r="O62" s="33">
        <f>SUMPRODUCT($K63:$K64,$L63:$L64,O63:O64)/$L62</f>
        <v>3147.5</v>
      </c>
      <c r="P62" s="23">
        <f t="shared" ref="P62:S62" si="30">SUMPRODUCT($K63:$K64,$L63:$L64,P63:P64)/$L62</f>
        <v>0</v>
      </c>
      <c r="Q62" s="23">
        <f t="shared" si="30"/>
        <v>240.3</v>
      </c>
      <c r="R62" s="23">
        <f t="shared" si="30"/>
        <v>240.3</v>
      </c>
      <c r="S62" s="23">
        <f t="shared" si="30"/>
        <v>240.3</v>
      </c>
      <c r="T62" s="22">
        <f>SUM(T63:T64)</f>
        <v>-1.375</v>
      </c>
      <c r="U62" s="32">
        <f>SUMIF($K63:$K64,"&gt;0",$U63:$U64)</f>
        <v>7.9749999999999996</v>
      </c>
      <c r="V62" s="3"/>
      <c r="W62" s="3"/>
      <c r="X62" s="3"/>
      <c r="Y62" s="503">
        <f t="shared" si="14"/>
        <v>0</v>
      </c>
      <c r="Z62" s="1" t="s">
        <v>334</v>
      </c>
      <c r="AA62" s="504"/>
      <c r="AB62" s="504" t="str">
        <f t="shared" si="21"/>
        <v>BOUCLIER AR</v>
      </c>
      <c r="AC62" s="504" t="str">
        <f t="shared" si="3"/>
        <v>Deuxiéme support calculateur gestion batterie HT</v>
      </c>
      <c r="AD62" s="504" t="str">
        <f t="shared" si="4"/>
        <v/>
      </c>
      <c r="AE62" s="504" t="str">
        <f t="shared" si="5"/>
        <v xml:space="preserve">BOUCLIER AR / Deuxiéme support calculateur gestion batterie HT  / </v>
      </c>
      <c r="AF62" s="504"/>
    </row>
    <row r="63" spans="2:41" ht="15" customHeight="1" outlineLevel="1">
      <c r="B63" s="47"/>
      <c r="C63" s="35" t="s">
        <v>404</v>
      </c>
      <c r="D63" s="35"/>
      <c r="E63" s="35"/>
      <c r="F63" s="35" t="s">
        <v>403</v>
      </c>
      <c r="G63" s="35"/>
      <c r="H63" s="35"/>
      <c r="I63" s="102"/>
      <c r="K63" s="42">
        <v>1</v>
      </c>
      <c r="L63" s="106">
        <v>6.6</v>
      </c>
      <c r="M63" s="202"/>
      <c r="O63" s="446">
        <f>'INPUT1 - Veh Geometry'!$H$72+'INPUT1 - Veh Geometry'!$H$36-150</f>
        <v>3147.5</v>
      </c>
      <c r="P63" s="10">
        <v>0</v>
      </c>
      <c r="Q63" s="10">
        <f>'INPUT1 - Veh Geometry'!$J$42-150</f>
        <v>240.3</v>
      </c>
      <c r="R63" s="10">
        <f t="shared" si="29"/>
        <v>240.3</v>
      </c>
      <c r="S63" s="10">
        <f t="shared" si="29"/>
        <v>240.3</v>
      </c>
      <c r="T63" s="7">
        <f t="shared" ref="T63:T64" si="31">L63*K63-U63</f>
        <v>-1.375</v>
      </c>
      <c r="U63" s="48">
        <f>IF(ISNUMBER(K63),L63*K63*(O63-$D$262)/E,)</f>
        <v>7.9749999999999996</v>
      </c>
      <c r="V63" s="3"/>
      <c r="W63" s="3"/>
      <c r="X63" s="3"/>
      <c r="Y63" s="503">
        <f t="shared" si="14"/>
        <v>6.6</v>
      </c>
      <c r="Z63" s="1" t="str">
        <f>IF(K63=0,"","SOEE")</f>
        <v>SOEE</v>
      </c>
      <c r="AA63" s="504"/>
      <c r="AB63" s="504" t="str">
        <f t="shared" si="21"/>
        <v>BOUCLIER AR</v>
      </c>
      <c r="AC63" s="504" t="str">
        <f t="shared" si="3"/>
        <v>Pare Choc AR</v>
      </c>
      <c r="AD63" s="504" t="str">
        <f t="shared" si="4"/>
        <v/>
      </c>
      <c r="AE63" s="504" t="str">
        <f t="shared" si="5"/>
        <v xml:space="preserve">BOUCLIER AR / Pare Choc AR  / </v>
      </c>
      <c r="AF63" s="504"/>
      <c r="AO63" s="2"/>
    </row>
    <row r="64" spans="2:41" ht="15" customHeight="1" outlineLevel="1">
      <c r="B64" s="47"/>
      <c r="C64" s="35" t="s">
        <v>405</v>
      </c>
      <c r="D64" s="35"/>
      <c r="E64" s="35"/>
      <c r="F64" s="35" t="s">
        <v>406</v>
      </c>
      <c r="G64" s="35"/>
      <c r="H64" s="35"/>
      <c r="I64" s="102"/>
      <c r="K64" s="42"/>
      <c r="L64" s="106"/>
      <c r="M64" s="202"/>
      <c r="O64" s="446">
        <f>'INPUT1 - Veh Geometry'!$H$72-150</f>
        <v>2447.5</v>
      </c>
      <c r="P64" s="10">
        <v>0</v>
      </c>
      <c r="Q64" s="10">
        <f>'INPUT1 - Veh Geometry'!$J$72+'INPUT1 - Veh Geometry'!$H$81/2-100</f>
        <v>332.9</v>
      </c>
      <c r="R64" s="10">
        <f t="shared" si="29"/>
        <v>332.9</v>
      </c>
      <c r="S64" s="10">
        <f t="shared" si="29"/>
        <v>332.9</v>
      </c>
      <c r="T64" s="7">
        <f t="shared" si="31"/>
        <v>0</v>
      </c>
      <c r="U64" s="48">
        <f>IF(ISNUMBER(K64),L64*K64*(O64-$D$262)/E,)</f>
        <v>0</v>
      </c>
      <c r="V64" s="3"/>
      <c r="W64" s="3"/>
      <c r="X64" s="3"/>
      <c r="Y64" s="503">
        <f t="shared" si="14"/>
        <v>0</v>
      </c>
      <c r="Z64" s="1" t="str">
        <f>IF(K64=0,"","SOEE")</f>
        <v/>
      </c>
      <c r="AA64" s="504"/>
      <c r="AB64" s="504" t="str">
        <f t="shared" si="21"/>
        <v>BOUCLIER AR</v>
      </c>
      <c r="AC64" s="504" t="str">
        <f t="shared" si="3"/>
        <v>Pare boue AR</v>
      </c>
      <c r="AD64" s="504" t="str">
        <f t="shared" si="4"/>
        <v/>
      </c>
      <c r="AE64" s="504" t="str">
        <f t="shared" si="5"/>
        <v xml:space="preserve">BOUCLIER AR / Pare boue AR  / </v>
      </c>
      <c r="AF64" s="504"/>
      <c r="AH64" t="s">
        <v>407</v>
      </c>
    </row>
    <row r="65" spans="2:41" ht="15" customHeight="1">
      <c r="B65" s="9" t="s">
        <v>408</v>
      </c>
      <c r="C65" s="8"/>
      <c r="D65" s="8"/>
      <c r="E65" s="8"/>
      <c r="F65" s="8" t="s">
        <v>409</v>
      </c>
      <c r="G65" s="8"/>
      <c r="H65" s="8"/>
      <c r="I65" s="29"/>
      <c r="K65" s="33"/>
      <c r="L65" s="22">
        <f>SUMPRODUCT(K66:K67,L66:L67)</f>
        <v>12.6</v>
      </c>
      <c r="M65" s="203"/>
      <c r="O65" s="33">
        <f>SUMPRODUCT($K66:$K67,$L66:$L67,O66:O67)/$L65</f>
        <v>-662.5</v>
      </c>
      <c r="P65" s="23">
        <f t="shared" ref="P65" si="32">SUMPRODUCT($K66:$K67,$L66:$L67,P66:P67)/$L65</f>
        <v>0</v>
      </c>
      <c r="Q65" s="23">
        <f t="shared" ref="Q65" si="33">SUMPRODUCT($K66:$K67,$L66:$L67,Q66:Q67)/$L65</f>
        <v>290.3</v>
      </c>
      <c r="R65" s="23">
        <f t="shared" ref="R65" si="34">SUMPRODUCT($K66:$K67,$L66:$L67,R66:R67)/$L65</f>
        <v>290.3</v>
      </c>
      <c r="S65" s="23">
        <f t="shared" ref="S65" si="35">SUMPRODUCT($K66:$K67,$L66:$L67,S66:S67)/$L65</f>
        <v>290.3</v>
      </c>
      <c r="T65" s="22">
        <f>SUM(T66:T67)</f>
        <v>15.559090909090909</v>
      </c>
      <c r="U65" s="32">
        <f>SUMIF($K66:$K67,"&gt;0",$U66:$U67)</f>
        <v>-2.959090909090909</v>
      </c>
      <c r="V65" s="3"/>
      <c r="W65" s="3"/>
      <c r="X65" s="3"/>
      <c r="Y65" s="503">
        <f t="shared" si="14"/>
        <v>0</v>
      </c>
      <c r="Z65" s="1" t="str">
        <f>IF(K65=0,"","SOEE")</f>
        <v/>
      </c>
      <c r="AA65" s="504"/>
      <c r="AB65" s="504" t="str">
        <f t="shared" si="21"/>
        <v>BOUCLIER AV</v>
      </c>
      <c r="AC65" s="504" t="str">
        <f t="shared" si="3"/>
        <v>Pare boue AR</v>
      </c>
      <c r="AD65" s="504" t="str">
        <f t="shared" si="4"/>
        <v/>
      </c>
      <c r="AE65" s="504" t="str">
        <f t="shared" si="5"/>
        <v xml:space="preserve">BOUCLIER AV / Pare boue AR  / </v>
      </c>
      <c r="AF65" s="504"/>
      <c r="AO65" s="2"/>
    </row>
    <row r="66" spans="2:41" ht="15" customHeight="1" outlineLevel="1">
      <c r="B66" s="47"/>
      <c r="C66" s="35" t="s">
        <v>410</v>
      </c>
      <c r="D66" s="35"/>
      <c r="E66" s="35"/>
      <c r="F66" s="35" t="s">
        <v>409</v>
      </c>
      <c r="G66" s="35"/>
      <c r="H66" s="35"/>
      <c r="I66" s="102"/>
      <c r="K66" s="42">
        <v>1</v>
      </c>
      <c r="L66" s="106">
        <v>12.6</v>
      </c>
      <c r="M66" s="202"/>
      <c r="O66" s="446">
        <f>'INPUT1 - Veh Geometry'!$H$61-'INPUT1 - Veh Geometry'!$H$35+200</f>
        <v>-662.5</v>
      </c>
      <c r="P66" s="10">
        <v>0</v>
      </c>
      <c r="Q66" s="10">
        <f>'INPUT1 - Veh Geometry'!$J$42-100</f>
        <v>290.3</v>
      </c>
      <c r="R66" s="10">
        <f t="shared" si="29"/>
        <v>290.3</v>
      </c>
      <c r="S66" s="10">
        <f t="shared" si="29"/>
        <v>290.3</v>
      </c>
      <c r="T66" s="7">
        <f t="shared" ref="T66:T67" si="36">L66*K66-U66</f>
        <v>15.559090909090909</v>
      </c>
      <c r="U66" s="48">
        <f>IF(ISNUMBER(K66),L66*K66*(O66-$D$262)/E,)</f>
        <v>-2.959090909090909</v>
      </c>
      <c r="V66" s="3"/>
      <c r="W66" s="3"/>
      <c r="X66" s="3"/>
      <c r="Y66" s="503">
        <f t="shared" si="14"/>
        <v>12.6</v>
      </c>
      <c r="Z66" s="1" t="str">
        <f>IF(K66=0,"","SOEE")</f>
        <v>SOEE</v>
      </c>
      <c r="AA66" s="504"/>
      <c r="AB66" s="504" t="str">
        <f t="shared" si="21"/>
        <v>BOUCLIER AV</v>
      </c>
      <c r="AC66" s="504" t="str">
        <f t="shared" si="3"/>
        <v>Pare Choc AV</v>
      </c>
      <c r="AD66" s="504" t="str">
        <f t="shared" si="4"/>
        <v/>
      </c>
      <c r="AE66" s="504" t="str">
        <f t="shared" si="5"/>
        <v xml:space="preserve">BOUCLIER AV / Pare Choc AV  / </v>
      </c>
      <c r="AF66" s="504"/>
    </row>
    <row r="67" spans="2:41" ht="15" customHeight="1" outlineLevel="1">
      <c r="B67" s="47"/>
      <c r="C67" s="35" t="s">
        <v>411</v>
      </c>
      <c r="D67" s="35"/>
      <c r="E67" s="35"/>
      <c r="F67" s="35" t="s">
        <v>412</v>
      </c>
      <c r="G67" s="35"/>
      <c r="H67" s="35"/>
      <c r="I67" s="102"/>
      <c r="K67" s="42"/>
      <c r="L67" s="106"/>
      <c r="M67" s="202"/>
      <c r="O67" s="446">
        <f>'INPUT1 - Veh Geometry'!$H$61</f>
        <v>-42.5</v>
      </c>
      <c r="P67" s="10">
        <v>0</v>
      </c>
      <c r="Q67" s="10">
        <f>'INPUT1 - Veh Geometry'!$J$61+'INPUT1 - Veh Geometry'!$H$81/2-100</f>
        <v>323.89999999999998</v>
      </c>
      <c r="R67" s="10">
        <f t="shared" si="29"/>
        <v>323.89999999999998</v>
      </c>
      <c r="S67" s="10">
        <f t="shared" si="29"/>
        <v>323.89999999999998</v>
      </c>
      <c r="T67" s="7">
        <f t="shared" si="36"/>
        <v>0</v>
      </c>
      <c r="U67" s="48">
        <f>IF(ISNUMBER(K67),L67*K67*(O67-$D$262)/E,)</f>
        <v>0</v>
      </c>
      <c r="V67" s="3"/>
      <c r="W67" s="3"/>
      <c r="X67" s="3"/>
      <c r="Y67" s="503">
        <f t="shared" si="14"/>
        <v>0</v>
      </c>
      <c r="Z67" s="1" t="str">
        <f>IF(K67=0,"","SOEE")</f>
        <v/>
      </c>
      <c r="AA67" s="504"/>
      <c r="AB67" s="504" t="str">
        <f t="shared" si="21"/>
        <v>BOUCLIER AV</v>
      </c>
      <c r="AC67" s="504" t="str">
        <f t="shared" si="3"/>
        <v>Pare boue AV</v>
      </c>
      <c r="AD67" s="504" t="str">
        <f t="shared" si="4"/>
        <v/>
      </c>
      <c r="AE67" s="504" t="str">
        <f t="shared" si="5"/>
        <v xml:space="preserve">BOUCLIER AV / Pare boue AV  / </v>
      </c>
      <c r="AF67" s="504"/>
      <c r="AH67" t="s">
        <v>413</v>
      </c>
      <c r="AL67" t="s">
        <v>414</v>
      </c>
      <c r="AO67" s="2"/>
    </row>
    <row r="68" spans="2:41" ht="15" customHeight="1">
      <c r="B68" s="9" t="s">
        <v>415</v>
      </c>
      <c r="C68" s="8"/>
      <c r="D68" s="8"/>
      <c r="E68" s="8"/>
      <c r="F68" s="8" t="s">
        <v>416</v>
      </c>
      <c r="G68" s="8"/>
      <c r="H68" s="8"/>
      <c r="I68" s="29"/>
      <c r="K68" s="33"/>
      <c r="L68" s="22">
        <f>SUMPRODUCT(L69:L74,K69:K74)</f>
        <v>107.1</v>
      </c>
      <c r="M68" s="203"/>
      <c r="O68" s="33">
        <f>SUMPRODUCT($L69:$L74,O69:O74,$K69:$K74)/$L68</f>
        <v>-241.5</v>
      </c>
      <c r="P68" s="23">
        <f t="shared" ref="P68:S68" si="37">SUMPRODUCT($L69:$L74,P69:P74,$K69:$K74)/$L68</f>
        <v>-47.999999999999993</v>
      </c>
      <c r="Q68" s="23">
        <f t="shared" si="37"/>
        <v>144.4</v>
      </c>
      <c r="R68" s="23">
        <f t="shared" si="37"/>
        <v>144.4</v>
      </c>
      <c r="S68" s="23">
        <f t="shared" si="37"/>
        <v>144.4</v>
      </c>
      <c r="T68" s="22">
        <f>SUM(T69:T74)</f>
        <v>115.17306818181818</v>
      </c>
      <c r="U68" s="32">
        <f>SUMIF($K69:$K74,"&gt;0",$U69:$U74)</f>
        <v>-8.0730681818181811</v>
      </c>
      <c r="V68" s="3"/>
      <c r="W68" s="3"/>
      <c r="X68" s="3"/>
      <c r="Y68" s="503">
        <f t="shared" si="14"/>
        <v>0</v>
      </c>
      <c r="Z68" s="1" t="s">
        <v>368</v>
      </c>
      <c r="AA68" s="504"/>
      <c r="AB68" s="504" t="str">
        <f t="shared" si="21"/>
        <v>BV / Réducteur</v>
      </c>
      <c r="AC68" s="504" t="str">
        <f t="shared" si="3"/>
        <v>Pare boue AV</v>
      </c>
      <c r="AD68" s="504" t="str">
        <f t="shared" si="4"/>
        <v/>
      </c>
      <c r="AE68" s="504" t="str">
        <f t="shared" si="5"/>
        <v xml:space="preserve">BV / Réducteur / Pare boue AV  / </v>
      </c>
      <c r="AF68" s="504"/>
    </row>
    <row r="69" spans="2:41" ht="15" customHeight="1" outlineLevel="1">
      <c r="B69" s="47"/>
      <c r="C69" s="35" t="s">
        <v>417</v>
      </c>
      <c r="D69" s="35"/>
      <c r="E69" s="35"/>
      <c r="F69" s="35" t="s">
        <v>418</v>
      </c>
      <c r="G69" s="35"/>
      <c r="H69" s="35"/>
      <c r="I69" s="102"/>
      <c r="K69" s="42"/>
      <c r="L69" s="106"/>
      <c r="M69" s="202"/>
      <c r="O69" s="448"/>
      <c r="P69" s="13"/>
      <c r="Q69" s="13"/>
      <c r="R69" s="10">
        <f t="shared" si="29"/>
        <v>0</v>
      </c>
      <c r="S69" s="10">
        <f t="shared" si="29"/>
        <v>0</v>
      </c>
      <c r="T69" s="7">
        <f t="shared" ref="T69:T74" si="38">L69*K69-U69</f>
        <v>0</v>
      </c>
      <c r="U69" s="48">
        <f t="shared" ref="U69:U74" si="39">IF(ISNUMBER(K69),L69*K69*(O69-$D$262)/E,)</f>
        <v>0</v>
      </c>
      <c r="V69" s="3"/>
      <c r="W69" s="3"/>
      <c r="X69" s="3"/>
      <c r="Y69" s="503">
        <f t="shared" si="14"/>
        <v>0</v>
      </c>
      <c r="Z69" s="1" t="s">
        <v>368</v>
      </c>
      <c r="AA69" s="504"/>
      <c r="AB69" s="504" t="str">
        <f t="shared" si="21"/>
        <v>BV / Réducteur</v>
      </c>
      <c r="AC69" s="504" t="str">
        <f t="shared" si="3"/>
        <v>4x4</v>
      </c>
      <c r="AD69" s="504" t="str">
        <f t="shared" si="4"/>
        <v/>
      </c>
      <c r="AE69" s="504" t="str">
        <f t="shared" si="5"/>
        <v xml:space="preserve">BV / Réducteur / 4x4  / </v>
      </c>
      <c r="AF69" s="504"/>
      <c r="AH69" t="s">
        <v>419</v>
      </c>
      <c r="AL69" t="s">
        <v>420</v>
      </c>
    </row>
    <row r="70" spans="2:41" ht="15" customHeight="1" outlineLevel="1">
      <c r="B70" s="47"/>
      <c r="C70" s="35" t="s">
        <v>421</v>
      </c>
      <c r="D70" s="35"/>
      <c r="E70" s="35"/>
      <c r="F70" s="35" t="s">
        <v>422</v>
      </c>
      <c r="G70" s="35"/>
      <c r="H70" s="35"/>
      <c r="I70" s="102"/>
      <c r="K70" s="42">
        <v>1</v>
      </c>
      <c r="L70" s="106">
        <v>107.1</v>
      </c>
      <c r="M70" s="202"/>
      <c r="O70" s="446">
        <f>'INPUT1 - Veh Geometry'!$H$87</f>
        <v>-241.5</v>
      </c>
      <c r="P70" s="10">
        <f>'INPUT1 - Veh Geometry'!$I$87</f>
        <v>-48</v>
      </c>
      <c r="Q70" s="10">
        <f>'INPUT1 - Veh Geometry'!$J$87</f>
        <v>144.4</v>
      </c>
      <c r="R70" s="10">
        <f t="shared" si="29"/>
        <v>144.4</v>
      </c>
      <c r="S70" s="10">
        <f t="shared" si="29"/>
        <v>144.4</v>
      </c>
      <c r="T70" s="7">
        <f t="shared" si="38"/>
        <v>115.17306818181818</v>
      </c>
      <c r="U70" s="48">
        <f t="shared" si="39"/>
        <v>-8.0730681818181811</v>
      </c>
      <c r="V70" s="3"/>
      <c r="W70" s="3"/>
      <c r="X70" s="3"/>
      <c r="Y70" s="503">
        <f t="shared" si="14"/>
        <v>107.1</v>
      </c>
      <c r="Z70" s="1" t="s">
        <v>368</v>
      </c>
      <c r="AA70" s="504"/>
      <c r="AB70" s="504" t="str">
        <f t="shared" si="21"/>
        <v>BV / Réducteur</v>
      </c>
      <c r="AC70" s="504" t="str">
        <f t="shared" si="3"/>
        <v>BVA</v>
      </c>
      <c r="AD70" s="504" t="str">
        <f t="shared" si="4"/>
        <v/>
      </c>
      <c r="AE70" s="504" t="str">
        <f t="shared" si="5"/>
        <v xml:space="preserve">BV / Réducteur / BVA  / </v>
      </c>
      <c r="AF70" s="504"/>
      <c r="AH70" t="s">
        <v>423</v>
      </c>
      <c r="AL70" t="s">
        <v>424</v>
      </c>
    </row>
    <row r="71" spans="2:41" ht="15" customHeight="1" outlineLevel="1">
      <c r="B71" s="47"/>
      <c r="C71" s="35" t="s">
        <v>425</v>
      </c>
      <c r="D71" s="35"/>
      <c r="E71" s="35"/>
      <c r="F71" s="35" t="s">
        <v>426</v>
      </c>
      <c r="G71" s="35"/>
      <c r="H71" s="35"/>
      <c r="I71" s="102"/>
      <c r="K71" s="42"/>
      <c r="L71" s="106"/>
      <c r="M71" s="202"/>
      <c r="O71" s="446">
        <f>'INPUT1 - Veh Geometry'!$H$87</f>
        <v>-241.5</v>
      </c>
      <c r="P71" s="10">
        <f>'INPUT1 - Veh Geometry'!$I$87</f>
        <v>-48</v>
      </c>
      <c r="Q71" s="10">
        <f>'INPUT1 - Veh Geometry'!$J$87</f>
        <v>144.4</v>
      </c>
      <c r="R71" s="10">
        <f t="shared" ref="R71:S87" si="40">$Q71</f>
        <v>144.4</v>
      </c>
      <c r="S71" s="10">
        <f t="shared" si="40"/>
        <v>144.4</v>
      </c>
      <c r="T71" s="7">
        <f t="shared" si="38"/>
        <v>0</v>
      </c>
      <c r="U71" s="48">
        <f t="shared" si="39"/>
        <v>0</v>
      </c>
      <c r="V71" s="3"/>
      <c r="W71" s="3"/>
      <c r="X71" s="3"/>
      <c r="Y71" s="503">
        <f t="shared" si="14"/>
        <v>0</v>
      </c>
      <c r="Z71" s="1" t="s">
        <v>368</v>
      </c>
      <c r="AA71" s="504"/>
      <c r="AB71" s="504" t="str">
        <f t="shared" si="21"/>
        <v>BV / Réducteur</v>
      </c>
      <c r="AC71" s="504" t="str">
        <f t="shared" ref="AC71:AC134" si="41">IF(C71&lt;&gt;0,C71,AC70)</f>
        <v>BVM</v>
      </c>
      <c r="AD71" s="504" t="str">
        <f t="shared" ref="AD71:AD134" si="42">IF(D71&lt;&gt;"",D71,"")</f>
        <v/>
      </c>
      <c r="AE71" s="504" t="str">
        <f t="shared" ref="AE71:AE134" si="43">CONCATENATE(AB71," / ",AC71,"  / ",AD71)</f>
        <v xml:space="preserve">BV / Réducteur / BVM  / </v>
      </c>
      <c r="AF71" s="504"/>
      <c r="AH71" t="s">
        <v>427</v>
      </c>
      <c r="AL71" t="s">
        <v>428</v>
      </c>
    </row>
    <row r="72" spans="2:41" ht="15" customHeight="1" outlineLevel="1">
      <c r="B72" s="47"/>
      <c r="C72" s="35" t="s">
        <v>429</v>
      </c>
      <c r="D72" s="35"/>
      <c r="E72" s="35"/>
      <c r="F72" s="35" t="s">
        <v>430</v>
      </c>
      <c r="G72" s="35"/>
      <c r="H72" s="35"/>
      <c r="I72" s="102"/>
      <c r="K72" s="42"/>
      <c r="L72" s="106"/>
      <c r="M72" s="202"/>
      <c r="O72" s="446">
        <f>'INPUT1 - Veh Geometry'!$H$87</f>
        <v>-241.5</v>
      </c>
      <c r="P72" s="10">
        <f>'INPUT1 - Veh Geometry'!$I$87</f>
        <v>-48</v>
      </c>
      <c r="Q72" s="10">
        <f>'INPUT1 - Veh Geometry'!$J$87</f>
        <v>144.4</v>
      </c>
      <c r="R72" s="10">
        <f t="shared" si="40"/>
        <v>144.4</v>
      </c>
      <c r="S72" s="10">
        <f t="shared" si="40"/>
        <v>144.4</v>
      </c>
      <c r="T72" s="7">
        <f t="shared" ref="T72" si="44">L72*K72-U72</f>
        <v>0</v>
      </c>
      <c r="U72" s="48">
        <f t="shared" si="39"/>
        <v>0</v>
      </c>
      <c r="V72" s="3"/>
      <c r="W72" s="3"/>
      <c r="X72" s="3"/>
      <c r="Y72" s="503">
        <f t="shared" ref="Y72" si="45">IF(ISNUMBER(K72),L72*K72,0)</f>
        <v>0</v>
      </c>
      <c r="Z72" s="1" t="s">
        <v>368</v>
      </c>
      <c r="AA72" s="504"/>
      <c r="AB72" s="504" t="str">
        <f t="shared" si="21"/>
        <v>BV / Réducteur</v>
      </c>
      <c r="AC72" s="504" t="str">
        <f t="shared" si="41"/>
        <v>COUPLAGE</v>
      </c>
      <c r="AD72" s="504" t="str">
        <f t="shared" si="42"/>
        <v/>
      </c>
      <c r="AE72" s="504" t="str">
        <f t="shared" si="43"/>
        <v xml:space="preserve">BV / Réducteur / COUPLAGE  / </v>
      </c>
      <c r="AF72" s="504"/>
      <c r="AH72" t="s">
        <v>427</v>
      </c>
      <c r="AL72" t="s">
        <v>428</v>
      </c>
    </row>
    <row r="73" spans="2:41" ht="15" customHeight="1" outlineLevel="1">
      <c r="B73" s="47"/>
      <c r="C73" s="35" t="s">
        <v>431</v>
      </c>
      <c r="D73" s="35"/>
      <c r="E73" s="35"/>
      <c r="F73" s="35" t="s">
        <v>432</v>
      </c>
      <c r="G73" s="35"/>
      <c r="H73" s="35"/>
      <c r="I73" s="102"/>
      <c r="K73" s="42"/>
      <c r="L73" s="106"/>
      <c r="M73" s="202"/>
      <c r="O73" s="446">
        <f>'INPUT1 - Veh Geometry'!$H$90</f>
        <v>0</v>
      </c>
      <c r="P73" s="10">
        <f>'INPUT1 - Veh Geometry'!$I$90</f>
        <v>0</v>
      </c>
      <c r="Q73" s="10">
        <f>'INPUT1 - Veh Geometry'!$J$90</f>
        <v>0</v>
      </c>
      <c r="R73" s="10">
        <f t="shared" si="40"/>
        <v>0</v>
      </c>
      <c r="S73" s="10">
        <f t="shared" si="40"/>
        <v>0</v>
      </c>
      <c r="T73" s="7">
        <f t="shared" si="38"/>
        <v>0</v>
      </c>
      <c r="U73" s="48">
        <f t="shared" si="39"/>
        <v>0</v>
      </c>
      <c r="V73" s="3"/>
      <c r="W73" s="3"/>
      <c r="X73" s="3"/>
      <c r="Y73" s="503">
        <f>IF(ISNUMBER(K73),L73*K73,0)</f>
        <v>0</v>
      </c>
      <c r="Z73" s="1" t="s">
        <v>368</v>
      </c>
      <c r="AA73" s="504"/>
      <c r="AB73" s="504" t="str">
        <f t="shared" si="21"/>
        <v>BV / Réducteur</v>
      </c>
      <c r="AC73" s="504" t="str">
        <f t="shared" si="41"/>
        <v>REDUCTEUR AR</v>
      </c>
      <c r="AD73" s="504" t="str">
        <f t="shared" si="42"/>
        <v/>
      </c>
      <c r="AE73" s="504" t="str">
        <f t="shared" si="43"/>
        <v xml:space="preserve">BV / Réducteur / REDUCTEUR AR  / </v>
      </c>
      <c r="AF73" s="504"/>
      <c r="AH73" t="s">
        <v>433</v>
      </c>
      <c r="AL73" t="s">
        <v>434</v>
      </c>
    </row>
    <row r="74" spans="2:41" ht="15" customHeight="1" outlineLevel="1">
      <c r="B74" s="47"/>
      <c r="C74" s="35" t="s">
        <v>435</v>
      </c>
      <c r="D74" s="35"/>
      <c r="E74" s="35"/>
      <c r="F74" s="35" t="s">
        <v>436</v>
      </c>
      <c r="G74" s="35"/>
      <c r="H74" s="35"/>
      <c r="I74" s="102"/>
      <c r="K74" s="42"/>
      <c r="L74" s="106"/>
      <c r="M74" s="202"/>
      <c r="O74" s="446">
        <f>'INPUT1 - Veh Geometry'!$H$87</f>
        <v>-241.5</v>
      </c>
      <c r="P74" s="10">
        <f>'INPUT1 - Veh Geometry'!$I$87</f>
        <v>-48</v>
      </c>
      <c r="Q74" s="10">
        <f>'INPUT1 - Veh Geometry'!$J$87</f>
        <v>144.4</v>
      </c>
      <c r="R74" s="10">
        <f t="shared" si="40"/>
        <v>144.4</v>
      </c>
      <c r="S74" s="10">
        <f t="shared" si="40"/>
        <v>144.4</v>
      </c>
      <c r="T74" s="7">
        <f t="shared" si="38"/>
        <v>0</v>
      </c>
      <c r="U74" s="48">
        <f t="shared" si="39"/>
        <v>0</v>
      </c>
      <c r="V74" s="3"/>
      <c r="W74" s="3"/>
      <c r="X74" s="3"/>
      <c r="Y74" s="503">
        <f>IF(ISNUMBER(K74),L74*K74,0)</f>
        <v>0</v>
      </c>
      <c r="Z74" s="1" t="s">
        <v>368</v>
      </c>
      <c r="AA74" s="504"/>
      <c r="AB74" s="504" t="str">
        <f t="shared" si="21"/>
        <v>BV / Réducteur</v>
      </c>
      <c r="AC74" s="504" t="str">
        <f t="shared" si="41"/>
        <v>REDUCTEUR AV</v>
      </c>
      <c r="AD74" s="504" t="str">
        <f t="shared" si="42"/>
        <v/>
      </c>
      <c r="AE74" s="504" t="str">
        <f t="shared" si="43"/>
        <v xml:space="preserve">BV / Réducteur / REDUCTEUR AV  / </v>
      </c>
      <c r="AF74" s="504"/>
      <c r="AH74" t="s">
        <v>437</v>
      </c>
      <c r="AL74" t="s">
        <v>438</v>
      </c>
    </row>
    <row r="75" spans="2:41" ht="15" customHeight="1">
      <c r="B75" s="9" t="s">
        <v>439</v>
      </c>
      <c r="C75" s="8"/>
      <c r="D75" s="8"/>
      <c r="E75" s="8"/>
      <c r="F75" s="8" t="s">
        <v>440</v>
      </c>
      <c r="G75" s="8"/>
      <c r="H75" s="8"/>
      <c r="I75" s="29"/>
      <c r="K75" s="33"/>
      <c r="L75" s="22">
        <f>SUMPRODUCT(K76:K80,L76:L80)</f>
        <v>321.89999999999998</v>
      </c>
      <c r="M75" s="203"/>
      <c r="O75" s="33">
        <f>SUMPRODUCT($K76:$K80,$L76:$L80,O76:O80)/$L75</f>
        <v>1394</v>
      </c>
      <c r="P75" s="23">
        <f t="shared" ref="P75:S75" si="46">SUMPRODUCT($K76:$K80,$L76:$L80,P76:P80)/$L75</f>
        <v>-1.9</v>
      </c>
      <c r="Q75" s="23">
        <f t="shared" si="46"/>
        <v>200</v>
      </c>
      <c r="R75" s="23">
        <f t="shared" si="46"/>
        <v>200</v>
      </c>
      <c r="S75" s="23">
        <f t="shared" si="46"/>
        <v>200</v>
      </c>
      <c r="T75" s="23">
        <f>SUM(T76:T80)</f>
        <v>146.74494318181817</v>
      </c>
      <c r="U75" s="32">
        <f>SUMIF($K76:$K80,"&gt;0",$U76:$U80)</f>
        <v>175.15505681818181</v>
      </c>
      <c r="V75" s="3"/>
      <c r="W75" s="3"/>
      <c r="X75" s="3"/>
      <c r="Y75" s="503">
        <f>IF(ISNUMBER(K75),L75*K75,0)</f>
        <v>0</v>
      </c>
      <c r="Z75" s="1" t="s">
        <v>441</v>
      </c>
      <c r="AA75" s="504"/>
      <c r="AB75" s="504" t="str">
        <f t="shared" si="21"/>
        <v>CAISSE EN BLANC</v>
      </c>
      <c r="AC75" s="504" t="str">
        <f t="shared" si="41"/>
        <v>REDUCTEUR AV</v>
      </c>
      <c r="AD75" s="504" t="str">
        <f t="shared" si="42"/>
        <v/>
      </c>
      <c r="AE75" s="504" t="str">
        <f t="shared" si="43"/>
        <v xml:space="preserve">CAISSE EN BLANC / REDUCTEUR AV  / </v>
      </c>
      <c r="AF75" s="504"/>
    </row>
    <row r="76" spans="2:41" ht="15" customHeight="1" outlineLevel="2">
      <c r="B76" s="47"/>
      <c r="C76" s="35" t="s">
        <v>442</v>
      </c>
      <c r="D76" s="35"/>
      <c r="E76" s="35"/>
      <c r="F76" s="35"/>
      <c r="G76" s="35"/>
      <c r="H76" s="35"/>
      <c r="I76" s="102"/>
      <c r="K76" s="42"/>
      <c r="L76" s="106"/>
      <c r="M76" s="202"/>
      <c r="O76" s="446">
        <f>'INPUT1 - Veh Geometry'!H$119</f>
        <v>1394</v>
      </c>
      <c r="P76" s="10">
        <f>'INPUT1 - Veh Geometry'!I$119</f>
        <v>-1.9</v>
      </c>
      <c r="Q76" s="10">
        <f>'INPUT1 - Veh Geometry'!J$119</f>
        <v>200</v>
      </c>
      <c r="R76" s="10">
        <f t="shared" si="40"/>
        <v>200</v>
      </c>
      <c r="S76" s="10">
        <f t="shared" si="40"/>
        <v>200</v>
      </c>
      <c r="T76" s="7">
        <f t="shared" ref="T76:T80" si="47">L76*K76-U76</f>
        <v>0</v>
      </c>
      <c r="U76" s="48">
        <f>IF(ISNUMBER(K76),L76*K76*(O76-$D$262)/E,)</f>
        <v>0</v>
      </c>
      <c r="V76" s="3"/>
      <c r="W76" s="3"/>
      <c r="X76" s="3"/>
      <c r="Y76" s="503">
        <f t="shared" ref="Y76:Y142" si="48">IF(ISNUMBER(K76),L76*K76,0)</f>
        <v>0</v>
      </c>
      <c r="Z76" s="1" t="s">
        <v>443</v>
      </c>
      <c r="AA76" s="504"/>
      <c r="AB76" s="504" t="str">
        <f t="shared" si="21"/>
        <v>CAISSE EN BLANC</v>
      </c>
      <c r="AC76" s="504" t="str">
        <f t="shared" si="41"/>
        <v>RENFORT DE CAISSE</v>
      </c>
      <c r="AD76" s="504" t="str">
        <f t="shared" si="42"/>
        <v/>
      </c>
      <c r="AE76" s="504" t="str">
        <f t="shared" si="43"/>
        <v xml:space="preserve">CAISSE EN BLANC / RENFORT DE CAISSE  / </v>
      </c>
      <c r="AF76" s="504"/>
      <c r="AH76" t="s">
        <v>444</v>
      </c>
      <c r="AL76" t="s">
        <v>445</v>
      </c>
    </row>
    <row r="77" spans="2:41" ht="15" customHeight="1" outlineLevel="2">
      <c r="B77" s="47"/>
      <c r="C77" s="35" t="s">
        <v>446</v>
      </c>
      <c r="D77" s="35"/>
      <c r="E77" s="35"/>
      <c r="F77" s="35"/>
      <c r="G77" s="35"/>
      <c r="H77" s="35"/>
      <c r="I77" s="102"/>
      <c r="K77" s="42"/>
      <c r="L77" s="106"/>
      <c r="M77" s="202"/>
      <c r="O77" s="446">
        <f>'INPUT1 - Veh Geometry'!H$119</f>
        <v>1394</v>
      </c>
      <c r="P77" s="10">
        <f>'INPUT1 - Veh Geometry'!I$119</f>
        <v>-1.9</v>
      </c>
      <c r="Q77" s="10">
        <f>'INPUT1 - Veh Geometry'!J$119</f>
        <v>200</v>
      </c>
      <c r="R77" s="10">
        <f t="shared" si="40"/>
        <v>200</v>
      </c>
      <c r="S77" s="10">
        <f t="shared" si="40"/>
        <v>200</v>
      </c>
      <c r="T77" s="7">
        <f t="shared" si="47"/>
        <v>0</v>
      </c>
      <c r="U77" s="48">
        <f>IF(ISNUMBER(K77),L77*K77*(O77-$D$262)/E,)</f>
        <v>0</v>
      </c>
      <c r="V77" s="3"/>
      <c r="W77" s="3"/>
      <c r="X77" s="3"/>
      <c r="Y77" s="503">
        <f t="shared" si="48"/>
        <v>0</v>
      </c>
      <c r="Z77" s="1" t="s">
        <v>441</v>
      </c>
      <c r="AA77" s="504"/>
      <c r="AB77" s="504" t="str">
        <f t="shared" si="21"/>
        <v>CAISSE EN BLANC</v>
      </c>
      <c r="AC77" s="504" t="str">
        <f t="shared" si="41"/>
        <v>TABLIER COTE CONDUCTEUR / UNIQUE</v>
      </c>
      <c r="AD77" s="504" t="str">
        <f t="shared" si="42"/>
        <v/>
      </c>
      <c r="AE77" s="504" t="str">
        <f t="shared" si="43"/>
        <v xml:space="preserve">CAISSE EN BLANC / TABLIER COTE CONDUCTEUR / UNIQUE  / </v>
      </c>
      <c r="AF77" s="504"/>
      <c r="AH77" t="s">
        <v>447</v>
      </c>
      <c r="AL77" t="s">
        <v>448</v>
      </c>
    </row>
    <row r="78" spans="2:41" ht="15" customHeight="1" outlineLevel="2">
      <c r="B78" s="47"/>
      <c r="C78" s="35" t="s">
        <v>449</v>
      </c>
      <c r="D78" s="35"/>
      <c r="E78" s="35"/>
      <c r="F78" s="35"/>
      <c r="G78" s="35"/>
      <c r="H78" s="35"/>
      <c r="I78" s="102"/>
      <c r="K78" s="42"/>
      <c r="L78" s="106"/>
      <c r="M78" s="202"/>
      <c r="O78" s="446">
        <f>'INPUT1 - Veh Geometry'!H$119</f>
        <v>1394</v>
      </c>
      <c r="P78" s="10">
        <f>'INPUT1 - Veh Geometry'!I$119</f>
        <v>-1.9</v>
      </c>
      <c r="Q78" s="10">
        <f>'INPUT1 - Veh Geometry'!J$119</f>
        <v>200</v>
      </c>
      <c r="R78" s="10">
        <f t="shared" si="40"/>
        <v>200</v>
      </c>
      <c r="S78" s="10">
        <f t="shared" si="40"/>
        <v>200</v>
      </c>
      <c r="T78" s="7">
        <f t="shared" si="47"/>
        <v>0</v>
      </c>
      <c r="U78" s="48">
        <f>IF(ISNUMBER(K78),L78*K78*(O78-$D$262)/E,)</f>
        <v>0</v>
      </c>
      <c r="V78" s="3"/>
      <c r="W78" s="3"/>
      <c r="X78" s="3"/>
      <c r="Y78" s="503">
        <f t="shared" si="48"/>
        <v>0</v>
      </c>
      <c r="Z78" s="1" t="s">
        <v>441</v>
      </c>
      <c r="AA78" s="504"/>
      <c r="AB78" s="504" t="str">
        <f t="shared" si="21"/>
        <v>CAISSE EN BLANC</v>
      </c>
      <c r="AC78" s="504" t="str">
        <f t="shared" si="41"/>
        <v>TABLIER COTE PASSAGER</v>
      </c>
      <c r="AD78" s="504" t="str">
        <f t="shared" si="42"/>
        <v/>
      </c>
      <c r="AE78" s="504" t="str">
        <f t="shared" si="43"/>
        <v xml:space="preserve">CAISSE EN BLANC / TABLIER COTE PASSAGER  / </v>
      </c>
      <c r="AF78" s="504"/>
      <c r="AH78" t="s">
        <v>447</v>
      </c>
      <c r="AL78" t="s">
        <v>448</v>
      </c>
    </row>
    <row r="79" spans="2:41" ht="15" customHeight="1" outlineLevel="2">
      <c r="B79" s="47"/>
      <c r="C79" s="35" t="s">
        <v>450</v>
      </c>
      <c r="D79" s="35"/>
      <c r="E79" s="35"/>
      <c r="F79" s="35"/>
      <c r="G79" s="35"/>
      <c r="H79" s="35"/>
      <c r="I79" s="102"/>
      <c r="K79" s="42"/>
      <c r="L79" s="106"/>
      <c r="M79" s="202"/>
      <c r="O79" s="446">
        <f>'INPUT1 - Veh Geometry'!H$119</f>
        <v>1394</v>
      </c>
      <c r="P79" s="10">
        <f>'INPUT1 - Veh Geometry'!I$119</f>
        <v>-1.9</v>
      </c>
      <c r="Q79" s="10">
        <f>'INPUT1 - Veh Geometry'!J$119</f>
        <v>200</v>
      </c>
      <c r="R79" s="10">
        <f t="shared" si="40"/>
        <v>200</v>
      </c>
      <c r="S79" s="10">
        <f t="shared" si="40"/>
        <v>200</v>
      </c>
      <c r="T79" s="7">
        <f t="shared" si="47"/>
        <v>0</v>
      </c>
      <c r="U79" s="48">
        <f>IF(ISNUMBER(K79),L79*K79*(O79-$D$262)/E,)</f>
        <v>0</v>
      </c>
      <c r="V79" s="3"/>
      <c r="W79" s="3"/>
      <c r="X79" s="3"/>
      <c r="Y79" s="503">
        <f t="shared" si="48"/>
        <v>0</v>
      </c>
      <c r="Z79" s="1" t="s">
        <v>441</v>
      </c>
      <c r="AA79" s="504"/>
      <c r="AB79" s="504" t="str">
        <f t="shared" si="21"/>
        <v>CAISSE EN BLANC</v>
      </c>
      <c r="AC79" s="504" t="str">
        <f t="shared" si="41"/>
        <v>BAC DE RANGEMENT ARRIERE 1</v>
      </c>
      <c r="AD79" s="504" t="str">
        <f t="shared" si="42"/>
        <v/>
      </c>
      <c r="AE79" s="504" t="str">
        <f t="shared" si="43"/>
        <v xml:space="preserve">CAISSE EN BLANC / BAC DE RANGEMENT ARRIERE 1  / </v>
      </c>
      <c r="AF79" s="504"/>
      <c r="AH79" t="s">
        <v>451</v>
      </c>
      <c r="AL79" t="s">
        <v>452</v>
      </c>
    </row>
    <row r="80" spans="2:41" ht="15" customHeight="1" outlineLevel="2">
      <c r="B80" s="47"/>
      <c r="C80" s="35" t="s">
        <v>453</v>
      </c>
      <c r="D80" s="35"/>
      <c r="E80" s="35"/>
      <c r="F80" s="35"/>
      <c r="G80" s="35"/>
      <c r="H80" s="35"/>
      <c r="I80" s="102"/>
      <c r="K80" s="42">
        <v>1</v>
      </c>
      <c r="L80" s="106">
        <v>321.89999999999998</v>
      </c>
      <c r="M80" s="202"/>
      <c r="O80" s="446">
        <f>'INPUT1 - Veh Geometry'!H$119</f>
        <v>1394</v>
      </c>
      <c r="P80" s="10">
        <f>'INPUT1 - Veh Geometry'!I$119</f>
        <v>-1.9</v>
      </c>
      <c r="Q80" s="10">
        <f>'INPUT1 - Veh Geometry'!J$119</f>
        <v>200</v>
      </c>
      <c r="R80" s="10">
        <f t="shared" si="40"/>
        <v>200</v>
      </c>
      <c r="S80" s="10">
        <f t="shared" si="40"/>
        <v>200</v>
      </c>
      <c r="T80" s="7">
        <f t="shared" si="47"/>
        <v>146.74494318181817</v>
      </c>
      <c r="U80" s="48">
        <f>IF(ISNUMBER(K80),L80*K80*(O80-$D$262)/E,)</f>
        <v>175.15505681818181</v>
      </c>
      <c r="V80" s="3"/>
      <c r="W80" s="3"/>
      <c r="X80" s="3"/>
      <c r="Y80" s="503">
        <f t="shared" si="48"/>
        <v>321.89999999999998</v>
      </c>
      <c r="Z80" s="1" t="s">
        <v>441</v>
      </c>
      <c r="AA80" s="504"/>
      <c r="AB80" s="504" t="str">
        <f t="shared" si="21"/>
        <v>CAISSE EN BLANC</v>
      </c>
      <c r="AC80" s="504" t="str">
        <f t="shared" si="41"/>
        <v>CAISSE EN BLANC (AVEC PEINTURE)</v>
      </c>
      <c r="AD80" s="504" t="str">
        <f t="shared" si="42"/>
        <v/>
      </c>
      <c r="AE80" s="504" t="str">
        <f t="shared" si="43"/>
        <v xml:space="preserve">CAISSE EN BLANC / CAISSE EN BLANC (AVEC PEINTURE)  / </v>
      </c>
      <c r="AF80" s="504"/>
      <c r="AH80" t="s">
        <v>451</v>
      </c>
      <c r="AL80" t="s">
        <v>452</v>
      </c>
    </row>
    <row r="81" spans="2:38" ht="15" customHeight="1">
      <c r="B81" s="9" t="s">
        <v>454</v>
      </c>
      <c r="C81" s="8"/>
      <c r="D81" s="8"/>
      <c r="E81" s="8"/>
      <c r="F81" s="8" t="s">
        <v>455</v>
      </c>
      <c r="G81" s="8"/>
      <c r="H81" s="8"/>
      <c r="I81" s="29"/>
      <c r="K81" s="33"/>
      <c r="L81" s="22">
        <f>SUMPRODUCT(K82:K83,L82:L83)</f>
        <v>12.700000000000001</v>
      </c>
      <c r="M81" s="203"/>
      <c r="O81" s="33">
        <f>SUMPRODUCT($K82:$K83,$L82:$L83,O82:O83)/$L81</f>
        <v>-129</v>
      </c>
      <c r="P81" s="23">
        <f t="shared" ref="P81:S81" si="49">SUMPRODUCT($K82:$K83,$L82:$L83,P82:P83)/$L81</f>
        <v>0</v>
      </c>
      <c r="Q81" s="23">
        <f t="shared" si="49"/>
        <v>719.99999999999989</v>
      </c>
      <c r="R81" s="23">
        <f t="shared" si="49"/>
        <v>719.99999999999989</v>
      </c>
      <c r="S81" s="23">
        <f t="shared" si="49"/>
        <v>719.99999999999989</v>
      </c>
      <c r="T81" s="22">
        <f>SUM(T82:T83)</f>
        <v>13.116117424242425</v>
      </c>
      <c r="U81" s="32">
        <f>SUMIF($K82:$K83,"&gt;0",$U82:$U83)</f>
        <v>-0.41611742424242426</v>
      </c>
      <c r="V81" s="3"/>
      <c r="W81" s="3"/>
      <c r="X81" s="3"/>
      <c r="Y81" s="503">
        <f t="shared" si="48"/>
        <v>0</v>
      </c>
      <c r="Z81" s="1" t="s">
        <v>441</v>
      </c>
      <c r="AA81" s="504"/>
      <c r="AB81" s="504" t="str">
        <f t="shared" si="21"/>
        <v>CAPOT</v>
      </c>
      <c r="AC81" s="504" t="str">
        <f t="shared" si="41"/>
        <v>CAISSE EN BLANC (AVEC PEINTURE)</v>
      </c>
      <c r="AD81" s="504" t="str">
        <f t="shared" si="42"/>
        <v/>
      </c>
      <c r="AE81" s="504" t="str">
        <f t="shared" si="43"/>
        <v xml:space="preserve">CAPOT / CAISSE EN BLANC (AVEC PEINTURE)  / </v>
      </c>
      <c r="AF81" s="504"/>
    </row>
    <row r="82" spans="2:38" ht="15" customHeight="1" outlineLevel="1">
      <c r="B82" s="47"/>
      <c r="C82" s="35" t="s">
        <v>456</v>
      </c>
      <c r="D82" s="35"/>
      <c r="E82" s="35"/>
      <c r="F82" s="35" t="s">
        <v>457</v>
      </c>
      <c r="G82" s="35"/>
      <c r="H82" s="35"/>
      <c r="I82" s="102"/>
      <c r="K82" s="42">
        <v>1</v>
      </c>
      <c r="L82" s="106">
        <v>10.9</v>
      </c>
      <c r="M82" s="202"/>
      <c r="O82" s="446">
        <f>'INPUT1 - Veh Geometry'!$H$127</f>
        <v>-129</v>
      </c>
      <c r="P82" s="10">
        <v>0</v>
      </c>
      <c r="Q82" s="10">
        <f>'INPUT1 - Veh Geometry'!$J$127</f>
        <v>720</v>
      </c>
      <c r="R82" s="10">
        <f t="shared" si="40"/>
        <v>720</v>
      </c>
      <c r="S82" s="10">
        <f t="shared" si="40"/>
        <v>720</v>
      </c>
      <c r="T82" s="7">
        <f t="shared" ref="T82:T83" si="50">L82*K82-U82</f>
        <v>11.257140151515152</v>
      </c>
      <c r="U82" s="48">
        <f>IF(ISNUMBER(K82),L82*K82*(O82-$D$262)/E,)</f>
        <v>-0.35714015151515155</v>
      </c>
      <c r="V82" s="3"/>
      <c r="W82" s="3"/>
      <c r="X82" s="3"/>
      <c r="Y82" s="503">
        <f t="shared" si="48"/>
        <v>10.9</v>
      </c>
      <c r="Z82" s="1" t="s">
        <v>441</v>
      </c>
      <c r="AA82" s="504"/>
      <c r="AB82" s="504" t="str">
        <f t="shared" si="21"/>
        <v>CAPOT</v>
      </c>
      <c r="AC82" s="504" t="str">
        <f t="shared" si="41"/>
        <v>Tôlerie capot</v>
      </c>
      <c r="AD82" s="504" t="str">
        <f t="shared" si="42"/>
        <v/>
      </c>
      <c r="AE82" s="504" t="str">
        <f t="shared" si="43"/>
        <v xml:space="preserve">CAPOT / Tôlerie capot  / </v>
      </c>
      <c r="AF82" s="504"/>
      <c r="AH82" t="s">
        <v>458</v>
      </c>
      <c r="AL82" t="s">
        <v>448</v>
      </c>
    </row>
    <row r="83" spans="2:38" ht="15" customHeight="1" outlineLevel="1">
      <c r="B83" s="47"/>
      <c r="C83" s="35" t="s">
        <v>459</v>
      </c>
      <c r="D83" s="35"/>
      <c r="E83" s="35"/>
      <c r="F83" s="35" t="s">
        <v>460</v>
      </c>
      <c r="G83" s="35"/>
      <c r="H83" s="35"/>
      <c r="I83" s="102"/>
      <c r="K83" s="42">
        <v>1</v>
      </c>
      <c r="L83" s="106">
        <v>1.8</v>
      </c>
      <c r="M83" s="202"/>
      <c r="O83" s="446">
        <f>'INPUT1 - Veh Geometry'!$H$127</f>
        <v>-129</v>
      </c>
      <c r="P83" s="10">
        <v>0</v>
      </c>
      <c r="Q83" s="10">
        <f>'INPUT1 - Veh Geometry'!$J$127</f>
        <v>720</v>
      </c>
      <c r="R83" s="10">
        <f t="shared" si="40"/>
        <v>720</v>
      </c>
      <c r="S83" s="10">
        <f t="shared" si="40"/>
        <v>720</v>
      </c>
      <c r="T83" s="7">
        <f t="shared" si="50"/>
        <v>1.8589772727272729</v>
      </c>
      <c r="U83" s="48">
        <f>IF(ISNUMBER(K83),L83*K83*(O83-$D$262)/E,)</f>
        <v>-5.8977272727272732E-2</v>
      </c>
      <c r="V83" s="3"/>
      <c r="W83" s="3"/>
      <c r="X83" s="3"/>
      <c r="Y83" s="503">
        <f t="shared" si="48"/>
        <v>1.8</v>
      </c>
      <c r="Z83" s="1" t="s">
        <v>441</v>
      </c>
      <c r="AA83" s="504"/>
      <c r="AB83" s="504" t="str">
        <f t="shared" si="21"/>
        <v>CAPOT</v>
      </c>
      <c r="AC83" s="504" t="str">
        <f t="shared" si="41"/>
        <v>Equipement capot</v>
      </c>
      <c r="AD83" s="504" t="str">
        <f t="shared" si="42"/>
        <v/>
      </c>
      <c r="AE83" s="504" t="str">
        <f t="shared" si="43"/>
        <v xml:space="preserve">CAPOT / Equipement capot  / </v>
      </c>
      <c r="AF83" s="504"/>
      <c r="AH83" t="s">
        <v>461</v>
      </c>
      <c r="AL83" t="s">
        <v>462</v>
      </c>
    </row>
    <row r="84" spans="2:38" ht="15" customHeight="1">
      <c r="B84" s="9" t="s">
        <v>463</v>
      </c>
      <c r="C84" s="8"/>
      <c r="D84" s="8"/>
      <c r="E84" s="8"/>
      <c r="F84" s="8" t="s">
        <v>464</v>
      </c>
      <c r="G84" s="8"/>
      <c r="H84" s="8"/>
      <c r="I84" s="29"/>
      <c r="K84" s="33"/>
      <c r="L84" s="22">
        <f>K85*L85</f>
        <v>0</v>
      </c>
      <c r="M84" s="203"/>
      <c r="O84" s="33" t="str">
        <f>IF($L84=0,"0",SUMPRODUCT($K85:$K85,$L85:$L85,O85:O85)/$L84)</f>
        <v>0</v>
      </c>
      <c r="P84" s="23" t="str">
        <f t="shared" ref="P84:S84" si="51">IF($L84=0,"0",SUMPRODUCT($K85:$K85,$L85:$L85,P85:P85)/$L84)</f>
        <v>0</v>
      </c>
      <c r="Q84" s="23" t="str">
        <f t="shared" si="51"/>
        <v>0</v>
      </c>
      <c r="R84" s="23" t="str">
        <f t="shared" si="51"/>
        <v>0</v>
      </c>
      <c r="S84" s="23" t="str">
        <f t="shared" si="51"/>
        <v>0</v>
      </c>
      <c r="T84" s="23">
        <f>SUM(T85:T85)</f>
        <v>0</v>
      </c>
      <c r="U84" s="32">
        <f>SUMIF($K85:$K85,"&gt;0",$U85:$U85)</f>
        <v>0</v>
      </c>
      <c r="V84" s="3"/>
      <c r="W84" s="3"/>
      <c r="X84" s="3"/>
      <c r="Y84" s="503">
        <f t="shared" si="48"/>
        <v>0</v>
      </c>
      <c r="Z84" s="1" t="s">
        <v>441</v>
      </c>
      <c r="AA84" s="504"/>
      <c r="AB84" s="504" t="str">
        <f t="shared" si="21"/>
        <v>CIELO / TO</v>
      </c>
      <c r="AC84" s="504" t="str">
        <f t="shared" si="41"/>
        <v>Equipement capot</v>
      </c>
      <c r="AD84" s="504" t="str">
        <f t="shared" si="42"/>
        <v/>
      </c>
      <c r="AE84" s="504" t="str">
        <f t="shared" si="43"/>
        <v xml:space="preserve">CIELO / TO / Equipement capot  / </v>
      </c>
      <c r="AF84" s="504"/>
    </row>
    <row r="85" spans="2:38" ht="15" customHeight="1" outlineLevel="1">
      <c r="B85" s="47"/>
      <c r="C85" s="35" t="s">
        <v>465</v>
      </c>
      <c r="D85" s="35"/>
      <c r="E85" s="35"/>
      <c r="F85" s="35" t="s">
        <v>464</v>
      </c>
      <c r="G85" s="35"/>
      <c r="H85" s="35"/>
      <c r="I85" s="102"/>
      <c r="K85" s="42"/>
      <c r="L85" s="106"/>
      <c r="M85" s="202"/>
      <c r="O85" s="446">
        <f>('INPUT1 - Veh Geometry'!$H$42+'INPUT1 - Veh Geometry'!$H$49)/2</f>
        <v>1732</v>
      </c>
      <c r="P85" s="10">
        <v>0</v>
      </c>
      <c r="Q85" s="10">
        <f>'INPUT1 - Veh Geometry'!$J$34-'INPUT1 - Veh Geometry'!$H$81/2+'INPUT1 - Veh Geometry'!$J$61-150</f>
        <v>1210.0999999999999</v>
      </c>
      <c r="R85" s="10">
        <f t="shared" si="40"/>
        <v>1210.0999999999999</v>
      </c>
      <c r="S85" s="10">
        <f t="shared" si="40"/>
        <v>1210.0999999999999</v>
      </c>
      <c r="T85" s="7">
        <f>L85*K85-U85</f>
        <v>0</v>
      </c>
      <c r="U85" s="48">
        <f>IF(ISNUMBER(K85),L85*K85*(O85-$D$262)/E,)</f>
        <v>0</v>
      </c>
      <c r="V85" s="3"/>
      <c r="W85" s="3"/>
      <c r="X85" s="3"/>
      <c r="Y85" s="503">
        <f t="shared" si="48"/>
        <v>0</v>
      </c>
      <c r="Z85" s="1" t="s">
        <v>441</v>
      </c>
      <c r="AA85" s="504"/>
      <c r="AB85" s="504" t="str">
        <f t="shared" si="21"/>
        <v>CIELO / TO</v>
      </c>
      <c r="AC85" s="504" t="str">
        <f t="shared" si="41"/>
        <v>Cielo/TO</v>
      </c>
      <c r="AD85" s="504" t="str">
        <f t="shared" si="42"/>
        <v/>
      </c>
      <c r="AE85" s="504" t="str">
        <f t="shared" si="43"/>
        <v xml:space="preserve">CIELO / TO / Cielo/TO  / </v>
      </c>
      <c r="AF85" s="504"/>
      <c r="AH85" t="s">
        <v>466</v>
      </c>
      <c r="AL85" t="s">
        <v>467</v>
      </c>
    </row>
    <row r="86" spans="2:38" ht="15" customHeight="1">
      <c r="B86" s="9" t="s">
        <v>468</v>
      </c>
      <c r="C86" s="8"/>
      <c r="D86" s="8"/>
      <c r="E86" s="8"/>
      <c r="F86" s="8" t="s">
        <v>469</v>
      </c>
      <c r="G86" s="8"/>
      <c r="H86" s="8"/>
      <c r="I86" s="29"/>
      <c r="K86" s="33"/>
      <c r="L86" s="22">
        <f>SUMPRODUCT(L87:L89,K87:K89)</f>
        <v>4.7</v>
      </c>
      <c r="M86" s="203"/>
      <c r="O86" s="33">
        <f>SUMPRODUCT($K87:$K89,$L87:$L89,O87:O89)/$L86</f>
        <v>577</v>
      </c>
      <c r="P86" s="23">
        <f t="shared" ref="P86:S86" si="52">SUMPRODUCT($K87:$K89,$L87:$L89,P87:P89)/$L86</f>
        <v>-326</v>
      </c>
      <c r="Q86" s="23">
        <f t="shared" si="52"/>
        <v>583</v>
      </c>
      <c r="R86" s="23">
        <f t="shared" si="52"/>
        <v>583</v>
      </c>
      <c r="S86" s="23">
        <f t="shared" si="52"/>
        <v>583</v>
      </c>
      <c r="T86" s="22">
        <f>SUM(T87:T89)</f>
        <v>3.5971022727272728</v>
      </c>
      <c r="U86" s="32">
        <f>SUMIF($K87:$K89,"&gt;0",$U87:$U89)</f>
        <v>1.1028977272727274</v>
      </c>
      <c r="V86" s="3"/>
      <c r="W86" s="3"/>
      <c r="X86" s="3"/>
      <c r="Y86" s="503">
        <f t="shared" si="48"/>
        <v>0</v>
      </c>
      <c r="Z86" s="1" t="s">
        <v>470</v>
      </c>
      <c r="AA86" s="504"/>
      <c r="AB86" s="504" t="str">
        <f t="shared" si="21"/>
        <v>COLONNE de direction</v>
      </c>
      <c r="AC86" s="504" t="str">
        <f t="shared" si="41"/>
        <v>Cielo/TO</v>
      </c>
      <c r="AD86" s="504" t="str">
        <f t="shared" si="42"/>
        <v/>
      </c>
      <c r="AE86" s="504" t="str">
        <f t="shared" si="43"/>
        <v xml:space="preserve">COLONNE de direction / Cielo/TO  / </v>
      </c>
      <c r="AF86" s="504"/>
    </row>
    <row r="87" spans="2:38" ht="15" customHeight="1" outlineLevel="1">
      <c r="B87" s="47"/>
      <c r="C87" s="35" t="s">
        <v>471</v>
      </c>
      <c r="D87" s="35"/>
      <c r="E87" s="35"/>
      <c r="F87" s="35" t="s">
        <v>472</v>
      </c>
      <c r="G87" s="35"/>
      <c r="H87" s="35"/>
      <c r="I87" s="102"/>
      <c r="K87" s="42">
        <v>1</v>
      </c>
      <c r="L87" s="106">
        <v>4.7</v>
      </c>
      <c r="M87" s="202"/>
      <c r="O87" s="446">
        <f>'INPUT1 - Veh Geometry'!$H$100</f>
        <v>577</v>
      </c>
      <c r="P87" s="10">
        <f>'INPUT1 - Veh Geometry'!$I$100</f>
        <v>-326</v>
      </c>
      <c r="Q87" s="10">
        <f>'INPUT1 - Veh Geometry'!$J$100</f>
        <v>583</v>
      </c>
      <c r="R87" s="10">
        <f t="shared" si="40"/>
        <v>583</v>
      </c>
      <c r="S87" s="10">
        <f t="shared" si="40"/>
        <v>583</v>
      </c>
      <c r="T87" s="7">
        <f t="shared" ref="T87:T89" si="53">L87*K87-U87</f>
        <v>3.5971022727272728</v>
      </c>
      <c r="U87" s="48">
        <f>IF(ISNUMBER(K87),L87*K87*(O87-$D$262)/E,)</f>
        <v>1.1028977272727274</v>
      </c>
      <c r="V87" s="3"/>
      <c r="W87" s="3"/>
      <c r="X87" s="3"/>
      <c r="Y87" s="503">
        <f t="shared" si="48"/>
        <v>4.7</v>
      </c>
      <c r="Z87" s="1" t="s">
        <v>470</v>
      </c>
      <c r="AA87" s="504"/>
      <c r="AB87" s="504" t="str">
        <f t="shared" si="21"/>
        <v>COLONNE de direction</v>
      </c>
      <c r="AC87" s="504" t="str">
        <f t="shared" si="41"/>
        <v>Colonne de direction</v>
      </c>
      <c r="AD87" s="504" t="str">
        <f t="shared" si="42"/>
        <v/>
      </c>
      <c r="AE87" s="504" t="str">
        <f t="shared" si="43"/>
        <v xml:space="preserve">COLONNE de direction / Colonne de direction  / </v>
      </c>
      <c r="AF87" s="504"/>
      <c r="AH87" t="s">
        <v>473</v>
      </c>
      <c r="AL87" t="s">
        <v>474</v>
      </c>
    </row>
    <row r="88" spans="2:38" ht="15" customHeight="1" outlineLevel="1">
      <c r="B88" s="47"/>
      <c r="C88" s="35" t="s">
        <v>475</v>
      </c>
      <c r="D88" s="35"/>
      <c r="E88" s="35"/>
      <c r="F88" s="35" t="s">
        <v>476</v>
      </c>
      <c r="G88" s="35"/>
      <c r="H88" s="35"/>
      <c r="I88" s="102"/>
      <c r="K88" s="42"/>
      <c r="L88" s="106"/>
      <c r="M88" s="202"/>
      <c r="O88" s="446">
        <f>'INPUT1 - Veh Geometry'!$H$100</f>
        <v>577</v>
      </c>
      <c r="P88" s="10">
        <f>'INPUT1 - Veh Geometry'!$I$100</f>
        <v>-326</v>
      </c>
      <c r="Q88" s="10">
        <f>'INPUT1 - Veh Geometry'!$J$100</f>
        <v>583</v>
      </c>
      <c r="R88" s="10">
        <f t="shared" ref="R88:S89" si="54">$Q88</f>
        <v>583</v>
      </c>
      <c r="S88" s="10">
        <f t="shared" si="54"/>
        <v>583</v>
      </c>
      <c r="T88" s="7">
        <f t="shared" si="53"/>
        <v>0</v>
      </c>
      <c r="U88" s="48">
        <f>IF(ISNUMBER(K88),L88*K88*(O88-$D$262)/E,)</f>
        <v>0</v>
      </c>
      <c r="V88" s="3"/>
      <c r="W88" s="3"/>
      <c r="X88" s="3"/>
      <c r="Y88" s="503">
        <f t="shared" si="48"/>
        <v>0</v>
      </c>
      <c r="Z88" s="1" t="s">
        <v>470</v>
      </c>
      <c r="AA88" s="504"/>
      <c r="AB88" s="504" t="str">
        <f t="shared" si="21"/>
        <v>COLONNE de direction</v>
      </c>
      <c r="AC88" s="504" t="str">
        <f t="shared" si="41"/>
        <v>Neman, joints, fixations</v>
      </c>
      <c r="AD88" s="504" t="str">
        <f t="shared" si="42"/>
        <v/>
      </c>
      <c r="AE88" s="504" t="str">
        <f t="shared" si="43"/>
        <v xml:space="preserve">COLONNE de direction / Neman, joints, fixations  / </v>
      </c>
      <c r="AF88" s="504"/>
      <c r="AH88" t="s">
        <v>477</v>
      </c>
      <c r="AL88" t="s">
        <v>478</v>
      </c>
    </row>
    <row r="89" spans="2:38" ht="15" customHeight="1" outlineLevel="1">
      <c r="B89" s="47"/>
      <c r="C89" s="35" t="s">
        <v>479</v>
      </c>
      <c r="D89" s="35"/>
      <c r="E89" s="35"/>
      <c r="F89" s="35" t="s">
        <v>480</v>
      </c>
      <c r="G89" s="35"/>
      <c r="H89" s="35"/>
      <c r="I89" s="102"/>
      <c r="K89" s="42"/>
      <c r="L89" s="106"/>
      <c r="M89" s="202"/>
      <c r="O89" s="446">
        <f>'INPUT1 - Veh Geometry'!$H$100</f>
        <v>577</v>
      </c>
      <c r="P89" s="10">
        <f>'INPUT1 - Veh Geometry'!$I$100</f>
        <v>-326</v>
      </c>
      <c r="Q89" s="10">
        <f>'INPUT1 - Veh Geometry'!$J$100</f>
        <v>583</v>
      </c>
      <c r="R89" s="10">
        <f t="shared" si="54"/>
        <v>583</v>
      </c>
      <c r="S89" s="10">
        <f t="shared" si="54"/>
        <v>583</v>
      </c>
      <c r="T89" s="7">
        <f t="shared" si="53"/>
        <v>0</v>
      </c>
      <c r="U89" s="48">
        <f>IF(ISNUMBER(K89),L89*K89*(O89-$D$262)/E,)</f>
        <v>0</v>
      </c>
      <c r="V89" s="3"/>
      <c r="W89" s="3"/>
      <c r="X89" s="3"/>
      <c r="Y89" s="503">
        <f t="shared" si="48"/>
        <v>0</v>
      </c>
      <c r="Z89" s="1" t="s">
        <v>470</v>
      </c>
      <c r="AA89" s="504"/>
      <c r="AB89" s="504" t="str">
        <f t="shared" si="21"/>
        <v>COLONNE de direction</v>
      </c>
      <c r="AC89" s="504" t="str">
        <f t="shared" si="41"/>
        <v>colonne avec motorisations</v>
      </c>
      <c r="AD89" s="504" t="str">
        <f t="shared" si="42"/>
        <v/>
      </c>
      <c r="AE89" s="504" t="str">
        <f t="shared" si="43"/>
        <v xml:space="preserve">COLONNE de direction / colonne avec motorisations  / </v>
      </c>
      <c r="AF89" s="504"/>
    </row>
    <row r="90" spans="2:38" ht="15" customHeight="1">
      <c r="B90" s="9" t="s">
        <v>481</v>
      </c>
      <c r="C90" s="8"/>
      <c r="D90" s="8"/>
      <c r="E90" s="8"/>
      <c r="F90" s="8" t="s">
        <v>482</v>
      </c>
      <c r="G90" s="8"/>
      <c r="H90" s="8"/>
      <c r="I90" s="29"/>
      <c r="K90" s="33"/>
      <c r="L90" s="22">
        <f>SUMPRODUCT(K91:K92,L91:L92)</f>
        <v>9.6</v>
      </c>
      <c r="M90" s="203"/>
      <c r="O90" s="33">
        <f>SUMPRODUCT($K91:$K92,$L91:$L92,O91:O92)/$L90</f>
        <v>1004</v>
      </c>
      <c r="P90" s="23">
        <f t="shared" ref="P90" si="55">SUMPRODUCT($K91:$K92,$L91:$L92,P91:P92)/$L90</f>
        <v>0</v>
      </c>
      <c r="Q90" s="23">
        <f t="shared" ref="Q90" si="56">SUMPRODUCT($K91:$K92,$L91:$L92,Q91:Q92)/$L90</f>
        <v>390.3</v>
      </c>
      <c r="R90" s="23">
        <f t="shared" ref="R90" si="57">SUMPRODUCT($K91:$K92,$L91:$L92,R91:R92)/$L90</f>
        <v>390.3</v>
      </c>
      <c r="S90" s="23">
        <f t="shared" ref="S90" si="58">SUMPRODUCT($K91:$K92,$L91:$L92,S91:S92)/$L90</f>
        <v>390.3</v>
      </c>
      <c r="T90" s="22">
        <f>SUM(T91:T92)</f>
        <v>5.7945454545454549</v>
      </c>
      <c r="U90" s="32">
        <f>SUMIF($K91:$K92,"&gt;0",$U91:$U92)</f>
        <v>3.8054545454545452</v>
      </c>
      <c r="V90" s="3"/>
      <c r="W90" s="3"/>
      <c r="X90" s="3"/>
      <c r="Y90" s="503">
        <f t="shared" si="48"/>
        <v>0</v>
      </c>
      <c r="Z90" s="1" t="s">
        <v>345</v>
      </c>
      <c r="AA90" s="504"/>
      <c r="AB90" s="504" t="str">
        <f t="shared" si="21"/>
        <v>CONSOLE</v>
      </c>
      <c r="AC90" s="504" t="str">
        <f t="shared" si="41"/>
        <v>colonne avec motorisations</v>
      </c>
      <c r="AD90" s="504" t="str">
        <f t="shared" si="42"/>
        <v/>
      </c>
      <c r="AE90" s="504" t="str">
        <f t="shared" si="43"/>
        <v xml:space="preserve">CONSOLE / colonne avec motorisations  / </v>
      </c>
      <c r="AF90" s="504"/>
    </row>
    <row r="91" spans="2:38" ht="15" customHeight="1" outlineLevel="1">
      <c r="B91" s="47"/>
      <c r="C91" s="35" t="s">
        <v>483</v>
      </c>
      <c r="D91" s="35"/>
      <c r="E91" s="35"/>
      <c r="F91" s="35" t="s">
        <v>484</v>
      </c>
      <c r="G91" s="35"/>
      <c r="H91" s="35"/>
      <c r="I91" s="102"/>
      <c r="K91" s="42">
        <v>1</v>
      </c>
      <c r="L91" s="106">
        <v>9.6</v>
      </c>
      <c r="M91" s="202"/>
      <c r="O91" s="446">
        <f>'INPUT1 - Veh Geometry'!$H$42-'INPUT1 - Veh Geometry'!H33/8</f>
        <v>1004</v>
      </c>
      <c r="P91" s="10">
        <v>0</v>
      </c>
      <c r="Q91" s="10">
        <f>'INPUT1 - Veh Geometry'!$J$42</f>
        <v>390.3</v>
      </c>
      <c r="R91" s="10">
        <f t="shared" ref="R91:S92" si="59">$Q91</f>
        <v>390.3</v>
      </c>
      <c r="S91" s="10">
        <f t="shared" si="59"/>
        <v>390.3</v>
      </c>
      <c r="T91" s="7">
        <f t="shared" ref="T91:T92" si="60">L91*K91-U91</f>
        <v>5.7945454545454549</v>
      </c>
      <c r="U91" s="48">
        <f>IF(ISNUMBER(K91),L91*K91*(O91-$D$262)/E,)</f>
        <v>3.8054545454545452</v>
      </c>
      <c r="V91" s="3"/>
      <c r="W91" s="3"/>
      <c r="X91" s="3"/>
      <c r="Y91" s="503">
        <f t="shared" si="48"/>
        <v>9.6</v>
      </c>
      <c r="Z91" s="1" t="s">
        <v>345</v>
      </c>
      <c r="AA91" s="504"/>
      <c r="AB91" s="504" t="str">
        <f t="shared" si="21"/>
        <v>CONSOLE</v>
      </c>
      <c r="AC91" s="504" t="str">
        <f t="shared" si="41"/>
        <v>Console centrale</v>
      </c>
      <c r="AD91" s="504" t="str">
        <f t="shared" si="42"/>
        <v/>
      </c>
      <c r="AE91" s="504" t="str">
        <f t="shared" si="43"/>
        <v xml:space="preserve">CONSOLE / Console centrale  / </v>
      </c>
      <c r="AF91" s="504"/>
      <c r="AH91" t="s">
        <v>485</v>
      </c>
      <c r="AL91" t="s">
        <v>486</v>
      </c>
    </row>
    <row r="92" spans="2:38" ht="15" customHeight="1" outlineLevel="1">
      <c r="B92" s="47"/>
      <c r="C92" s="35" t="s">
        <v>487</v>
      </c>
      <c r="D92" s="35"/>
      <c r="E92" s="35"/>
      <c r="F92" s="35" t="s">
        <v>488</v>
      </c>
      <c r="G92" s="35"/>
      <c r="H92" s="35"/>
      <c r="I92" s="102"/>
      <c r="K92" s="42"/>
      <c r="L92" s="106"/>
      <c r="M92" s="202"/>
      <c r="O92" s="446">
        <f>'INPUT1 - Veh Geometry'!$H$42-200</f>
        <v>1134</v>
      </c>
      <c r="P92" s="10">
        <v>0</v>
      </c>
      <c r="Q92" s="10">
        <f>'INPUT1 - Veh Geometry'!$J$42</f>
        <v>390.3</v>
      </c>
      <c r="R92" s="10">
        <f t="shared" si="59"/>
        <v>390.3</v>
      </c>
      <c r="S92" s="10">
        <f t="shared" si="59"/>
        <v>390.3</v>
      </c>
      <c r="T92" s="7">
        <f t="shared" si="60"/>
        <v>0</v>
      </c>
      <c r="U92" s="48">
        <f>IF(ISNUMBER(K92),L92*K92*(O92-$D$262)/E,)</f>
        <v>0</v>
      </c>
      <c r="V92" s="3"/>
      <c r="W92" s="3"/>
      <c r="X92" s="3"/>
      <c r="Y92" s="503">
        <f t="shared" si="48"/>
        <v>0</v>
      </c>
      <c r="Z92" s="1" t="s">
        <v>345</v>
      </c>
      <c r="AA92" s="504"/>
      <c r="AB92" s="504" t="str">
        <f t="shared" si="21"/>
        <v>CONSOLE</v>
      </c>
      <c r="AC92" s="504" t="str">
        <f t="shared" si="41"/>
        <v>Garnitures / rangements</v>
      </c>
      <c r="AD92" s="504" t="str">
        <f t="shared" si="42"/>
        <v/>
      </c>
      <c r="AE92" s="504" t="str">
        <f t="shared" si="43"/>
        <v xml:space="preserve">CONSOLE / Garnitures / rangements  / </v>
      </c>
      <c r="AF92" s="504"/>
      <c r="AH92" t="s">
        <v>485</v>
      </c>
      <c r="AL92" t="s">
        <v>486</v>
      </c>
    </row>
    <row r="93" spans="2:38" ht="15" customHeight="1">
      <c r="B93" s="9" t="s">
        <v>489</v>
      </c>
      <c r="C93" s="8"/>
      <c r="D93" s="8"/>
      <c r="E93" s="8"/>
      <c r="F93" s="8" t="s">
        <v>490</v>
      </c>
      <c r="G93" s="8"/>
      <c r="H93" s="8"/>
      <c r="I93" s="29"/>
      <c r="K93" s="33"/>
      <c r="L93" s="22">
        <f>SUMPRODUCT(K94:K95,L94:L95)</f>
        <v>12.7</v>
      </c>
      <c r="M93" s="203"/>
      <c r="O93" s="33">
        <f>SUMPRODUCT($K94:$K95,$L94:$L95,O94:O95)/$L93</f>
        <v>171</v>
      </c>
      <c r="P93" s="23">
        <f t="shared" ref="P93" si="61">SUMPRODUCT($K94:$K95,$L94:$L95,P94:P95)/$L93</f>
        <v>-133</v>
      </c>
      <c r="Q93" s="23">
        <f t="shared" ref="Q93" si="62">SUMPRODUCT($K94:$K95,$L94:$L95,Q94:Q95)/$L93</f>
        <v>78</v>
      </c>
      <c r="R93" s="23">
        <f t="shared" ref="R93" si="63">SUMPRODUCT($K94:$K95,$L94:$L95,R94:R95)/$L93</f>
        <v>78</v>
      </c>
      <c r="S93" s="23">
        <f t="shared" ref="S93" si="64">SUMPRODUCT($K94:$K95,$L94:$L95,S94:S95)/$L93</f>
        <v>78</v>
      </c>
      <c r="T93" s="22">
        <f>SUM(T94:T95)</f>
        <v>11.672935606060605</v>
      </c>
      <c r="U93" s="32">
        <f>SUMIF($K94:$K95,"&gt;0",$U94:$U95)</f>
        <v>1.027064393939394</v>
      </c>
      <c r="V93" s="3"/>
      <c r="W93" s="3"/>
      <c r="X93" s="3"/>
      <c r="Y93" s="503">
        <f t="shared" si="48"/>
        <v>0</v>
      </c>
      <c r="Z93" s="1" t="s">
        <v>470</v>
      </c>
      <c r="AA93" s="504"/>
      <c r="AB93" s="504" t="str">
        <f t="shared" si="21"/>
        <v>DAE</v>
      </c>
      <c r="AC93" s="504" t="str">
        <f t="shared" si="41"/>
        <v>Garnitures / rangements</v>
      </c>
      <c r="AD93" s="504" t="str">
        <f t="shared" si="42"/>
        <v/>
      </c>
      <c r="AE93" s="504" t="str">
        <f t="shared" si="43"/>
        <v xml:space="preserve">DAE / Garnitures / rangements  / </v>
      </c>
      <c r="AF93" s="504"/>
    </row>
    <row r="94" spans="2:38" ht="15" customHeight="1" outlineLevel="1">
      <c r="B94" s="47"/>
      <c r="C94" s="35" t="s">
        <v>489</v>
      </c>
      <c r="D94" s="35"/>
      <c r="E94" s="35"/>
      <c r="F94" s="35" t="s">
        <v>490</v>
      </c>
      <c r="G94" s="35"/>
      <c r="H94" s="35"/>
      <c r="I94" s="102"/>
      <c r="K94" s="42">
        <v>1</v>
      </c>
      <c r="L94" s="106">
        <v>12.7</v>
      </c>
      <c r="M94" s="202"/>
      <c r="O94" s="446">
        <f>'INPUT1 - Veh Geometry'!H$96</f>
        <v>171</v>
      </c>
      <c r="P94" s="10">
        <f>'INPUT1 - Veh Geometry'!I$96</f>
        <v>-133</v>
      </c>
      <c r="Q94" s="10">
        <f>'INPUT1 - Veh Geometry'!J$96</f>
        <v>78</v>
      </c>
      <c r="R94" s="10">
        <f t="shared" ref="R94:S98" si="65">$Q94</f>
        <v>78</v>
      </c>
      <c r="S94" s="10">
        <f t="shared" si="65"/>
        <v>78</v>
      </c>
      <c r="T94" s="7">
        <f>L94*K94-U94</f>
        <v>11.672935606060605</v>
      </c>
      <c r="U94" s="48">
        <f>IF(ISNUMBER(K94),L94*K94*(O94-$D$262)/E,)</f>
        <v>1.027064393939394</v>
      </c>
      <c r="V94" s="3"/>
      <c r="W94" s="3"/>
      <c r="X94" s="3"/>
      <c r="Y94" s="503">
        <f t="shared" si="48"/>
        <v>12.7</v>
      </c>
      <c r="Z94" s="1" t="s">
        <v>470</v>
      </c>
      <c r="AA94" s="504"/>
      <c r="AB94" s="504" t="str">
        <f t="shared" si="21"/>
        <v>DAE</v>
      </c>
      <c r="AC94" s="504" t="str">
        <f t="shared" si="41"/>
        <v>DAE</v>
      </c>
      <c r="AD94" s="504" t="str">
        <f t="shared" si="42"/>
        <v/>
      </c>
      <c r="AE94" s="504" t="str">
        <f t="shared" si="43"/>
        <v xml:space="preserve">DAE / DAE  / </v>
      </c>
      <c r="AF94" s="504"/>
      <c r="AH94" t="s">
        <v>473</v>
      </c>
      <c r="AL94" t="s">
        <v>474</v>
      </c>
    </row>
    <row r="95" spans="2:38" ht="15" customHeight="1" outlineLevel="1">
      <c r="B95" s="47"/>
      <c r="C95" s="35" t="s">
        <v>491</v>
      </c>
      <c r="D95" s="35"/>
      <c r="E95" s="35"/>
      <c r="F95" s="35" t="s">
        <v>492</v>
      </c>
      <c r="G95" s="35"/>
      <c r="H95" s="35"/>
      <c r="I95" s="102"/>
      <c r="K95" s="42"/>
      <c r="L95" s="106"/>
      <c r="M95" s="202"/>
      <c r="O95" s="446">
        <f>'INPUT1 - Veh Geometry'!H$96</f>
        <v>171</v>
      </c>
      <c r="P95" s="10">
        <f>'INPUT1 - Veh Geometry'!I$96</f>
        <v>-133</v>
      </c>
      <c r="Q95" s="10">
        <f>'INPUT1 - Veh Geometry'!J$96</f>
        <v>78</v>
      </c>
      <c r="R95" s="10">
        <f t="shared" si="65"/>
        <v>78</v>
      </c>
      <c r="S95" s="10">
        <f t="shared" si="65"/>
        <v>78</v>
      </c>
      <c r="T95" s="7">
        <f>L95*K95-U95</f>
        <v>0</v>
      </c>
      <c r="U95" s="48">
        <f>IF(ISNUMBER(K95),L95*K95*(O95-$D$262)/E,)</f>
        <v>0</v>
      </c>
      <c r="V95" s="3"/>
      <c r="W95" s="3"/>
      <c r="X95" s="3"/>
      <c r="Y95" s="503">
        <f t="shared" si="48"/>
        <v>0</v>
      </c>
      <c r="Z95" s="1" t="s">
        <v>470</v>
      </c>
      <c r="AA95" s="504"/>
      <c r="AB95" s="504" t="str">
        <f t="shared" si="21"/>
        <v>DAE</v>
      </c>
      <c r="AC95" s="504" t="str">
        <f t="shared" si="41"/>
        <v>Fixations et protections</v>
      </c>
      <c r="AD95" s="504" t="str">
        <f t="shared" si="42"/>
        <v/>
      </c>
      <c r="AE95" s="504" t="str">
        <f t="shared" si="43"/>
        <v xml:space="preserve">DAE / Fixations et protections  / </v>
      </c>
      <c r="AF95" s="504"/>
      <c r="AH95" t="s">
        <v>493</v>
      </c>
      <c r="AL95" t="s">
        <v>494</v>
      </c>
    </row>
    <row r="96" spans="2:38" ht="15" customHeight="1">
      <c r="B96" s="9" t="s">
        <v>495</v>
      </c>
      <c r="C96" s="8"/>
      <c r="D96" s="8"/>
      <c r="E96" s="8"/>
      <c r="F96" s="8" t="s">
        <v>490</v>
      </c>
      <c r="G96" s="8"/>
      <c r="H96" s="8"/>
      <c r="I96" s="29"/>
      <c r="K96" s="33"/>
      <c r="L96" s="22">
        <f>SUMPRODUCT(K97:K98,L97:L98)</f>
        <v>0</v>
      </c>
      <c r="M96" s="203"/>
      <c r="O96" s="33" t="str">
        <f>IF($L96=0,"0",SUMPRODUCT($K97:$K98,$L97:$L98,O97:O98)/$L96)</f>
        <v>0</v>
      </c>
      <c r="P96" s="23" t="str">
        <f t="shared" ref="P96:S96" si="66">IF($L96=0,"0",SUMPRODUCT($K97:$K98,$L97:$L98,P97:P98)/$L96)</f>
        <v>0</v>
      </c>
      <c r="Q96" s="23" t="str">
        <f t="shared" si="66"/>
        <v>0</v>
      </c>
      <c r="R96" s="23" t="str">
        <f t="shared" si="66"/>
        <v>0</v>
      </c>
      <c r="S96" s="23" t="str">
        <f t="shared" si="66"/>
        <v>0</v>
      </c>
      <c r="T96" s="22">
        <f>SUM(T97:T98)</f>
        <v>0</v>
      </c>
      <c r="U96" s="32">
        <f>SUMIF($K97:$K98,"&gt;0",$U97:$U98)</f>
        <v>0</v>
      </c>
      <c r="V96" s="3"/>
      <c r="W96" s="3"/>
      <c r="X96" s="3"/>
      <c r="Y96" s="503">
        <f t="shared" ref="Y96:Y98" si="67">IF(ISNUMBER(K96),L96*K96,0)</f>
        <v>0</v>
      </c>
      <c r="Z96" s="1" t="s">
        <v>470</v>
      </c>
      <c r="AA96" s="504"/>
      <c r="AB96" s="504" t="str">
        <f t="shared" si="21"/>
        <v>DEMARREUR</v>
      </c>
      <c r="AC96" s="504" t="str">
        <f t="shared" si="41"/>
        <v>Fixations et protections</v>
      </c>
      <c r="AD96" s="504" t="str">
        <f t="shared" si="42"/>
        <v/>
      </c>
      <c r="AE96" s="504" t="str">
        <f t="shared" si="43"/>
        <v xml:space="preserve">DEMARREUR / Fixations et protections  / </v>
      </c>
      <c r="AF96" s="504"/>
    </row>
    <row r="97" spans="2:38" ht="15" customHeight="1" outlineLevel="1">
      <c r="B97" s="47"/>
      <c r="C97" s="35" t="s">
        <v>495</v>
      </c>
      <c r="D97" s="35"/>
      <c r="E97" s="35"/>
      <c r="F97" s="35"/>
      <c r="G97" s="35"/>
      <c r="H97" s="35"/>
      <c r="I97" s="102"/>
      <c r="K97" s="42"/>
      <c r="L97" s="106"/>
      <c r="M97" s="202"/>
      <c r="O97" s="446">
        <f>'INPUT1 - Veh Geometry'!$H$87</f>
        <v>-241.5</v>
      </c>
      <c r="P97" s="10">
        <f>'INPUT1 - Veh Geometry'!$I$87</f>
        <v>-48</v>
      </c>
      <c r="Q97" s="10">
        <f>'INPUT1 - Veh Geometry'!$J$87</f>
        <v>144.4</v>
      </c>
      <c r="R97" s="10">
        <f t="shared" si="65"/>
        <v>144.4</v>
      </c>
      <c r="S97" s="10">
        <f t="shared" si="65"/>
        <v>144.4</v>
      </c>
      <c r="T97" s="7">
        <f>L97*K97-U97</f>
        <v>0</v>
      </c>
      <c r="U97" s="48">
        <f>IF(ISNUMBER(K97),L97*K97*(O97-$D$262)/E,)</f>
        <v>0</v>
      </c>
      <c r="V97" s="3"/>
      <c r="W97" s="3"/>
      <c r="X97" s="3"/>
      <c r="Y97" s="503">
        <f t="shared" si="67"/>
        <v>0</v>
      </c>
      <c r="Z97" s="1" t="s">
        <v>470</v>
      </c>
      <c r="AA97" s="504"/>
      <c r="AB97" s="504" t="str">
        <f t="shared" si="21"/>
        <v>DEMARREUR</v>
      </c>
      <c r="AC97" s="504" t="str">
        <f t="shared" si="41"/>
        <v>DEMARREUR</v>
      </c>
      <c r="AD97" s="504" t="str">
        <f t="shared" si="42"/>
        <v/>
      </c>
      <c r="AE97" s="504" t="str">
        <f t="shared" si="43"/>
        <v xml:space="preserve">DEMARREUR / DEMARREUR  / </v>
      </c>
      <c r="AF97" s="504"/>
      <c r="AH97" t="s">
        <v>473</v>
      </c>
      <c r="AL97" t="s">
        <v>474</v>
      </c>
    </row>
    <row r="98" spans="2:38" ht="15" customHeight="1" outlineLevel="1">
      <c r="B98" s="47"/>
      <c r="C98" s="35" t="s">
        <v>496</v>
      </c>
      <c r="D98" s="35"/>
      <c r="E98" s="35"/>
      <c r="F98" s="35"/>
      <c r="G98" s="35"/>
      <c r="H98" s="35"/>
      <c r="I98" s="102"/>
      <c r="K98" s="42"/>
      <c r="L98" s="106"/>
      <c r="M98" s="202"/>
      <c r="O98" s="446">
        <f>'INPUT1 - Veh Geometry'!$H$87</f>
        <v>-241.5</v>
      </c>
      <c r="P98" s="10">
        <f>'INPUT1 - Veh Geometry'!$I$87</f>
        <v>-48</v>
      </c>
      <c r="Q98" s="10">
        <f>'INPUT1 - Veh Geometry'!$J$87</f>
        <v>144.4</v>
      </c>
      <c r="R98" s="10">
        <f t="shared" si="65"/>
        <v>144.4</v>
      </c>
      <c r="S98" s="10">
        <f t="shared" si="65"/>
        <v>144.4</v>
      </c>
      <c r="T98" s="7">
        <f>L98*K98-U98</f>
        <v>0</v>
      </c>
      <c r="U98" s="48">
        <f>IF(ISNUMBER(K98),L98*K98*(O98-$D$262)/E,)</f>
        <v>0</v>
      </c>
      <c r="V98" s="3"/>
      <c r="W98" s="3"/>
      <c r="X98" s="3"/>
      <c r="Y98" s="503">
        <f t="shared" si="67"/>
        <v>0</v>
      </c>
      <c r="Z98" s="1" t="s">
        <v>470</v>
      </c>
      <c r="AA98" s="504"/>
      <c r="AB98" s="504" t="str">
        <f t="shared" si="21"/>
        <v>DEMARREUR</v>
      </c>
      <c r="AC98" s="504" t="str">
        <f t="shared" si="41"/>
        <v>PROTECTION DEMARREUR</v>
      </c>
      <c r="AD98" s="504" t="str">
        <f t="shared" si="42"/>
        <v/>
      </c>
      <c r="AE98" s="504" t="str">
        <f t="shared" si="43"/>
        <v xml:space="preserve">DEMARREUR / PROTECTION DEMARREUR  / </v>
      </c>
      <c r="AF98" s="504"/>
      <c r="AH98" t="s">
        <v>493</v>
      </c>
      <c r="AL98" t="s">
        <v>494</v>
      </c>
    </row>
    <row r="99" spans="2:38" ht="15" customHeight="1">
      <c r="B99" s="9" t="s">
        <v>497</v>
      </c>
      <c r="C99" s="8"/>
      <c r="D99" s="8"/>
      <c r="E99" s="8"/>
      <c r="F99" s="8" t="s">
        <v>498</v>
      </c>
      <c r="G99" s="8"/>
      <c r="H99" s="8"/>
      <c r="I99" s="29"/>
      <c r="K99" s="33"/>
      <c r="L99" s="22">
        <f>SUMPRODUCT(L100:L108,K100:K108)</f>
        <v>10.799999999999999</v>
      </c>
      <c r="M99" s="203"/>
      <c r="O99" s="33">
        <f>SUMPRODUCT($K100:$K108,$L100:$L108,O100:O108)/$L99</f>
        <v>867.13981481481494</v>
      </c>
      <c r="P99" s="23">
        <f t="shared" ref="P99:S99" si="68">SUMPRODUCT($K100:$K108,$L100:$L108,P100:P108)/$L99</f>
        <v>-113.39814814814817</v>
      </c>
      <c r="Q99" s="23">
        <f t="shared" si="68"/>
        <v>946.48333333333346</v>
      </c>
      <c r="R99" s="23">
        <f t="shared" si="68"/>
        <v>946.48333333333346</v>
      </c>
      <c r="S99" s="23">
        <f t="shared" si="68"/>
        <v>946.48333333333346</v>
      </c>
      <c r="T99" s="22">
        <f>SUM(T100:T108)</f>
        <v>7.0787462121212119</v>
      </c>
      <c r="U99" s="32">
        <f>SUMIF($K100:$K108,"&gt;0",$U100:$U108)</f>
        <v>3.7212537878787879</v>
      </c>
      <c r="V99" s="3"/>
      <c r="W99" s="3"/>
      <c r="X99" s="3"/>
      <c r="Y99" s="503">
        <f t="shared" si="48"/>
        <v>0</v>
      </c>
      <c r="Z99" s="1" t="s">
        <v>441</v>
      </c>
      <c r="AA99" s="504"/>
      <c r="AB99" s="504" t="str">
        <f t="shared" si="21"/>
        <v>DIVERS CAISSE</v>
      </c>
      <c r="AC99" s="504" t="str">
        <f t="shared" si="41"/>
        <v>PROTECTION DEMARREUR</v>
      </c>
      <c r="AD99" s="504" t="str">
        <f t="shared" si="42"/>
        <v/>
      </c>
      <c r="AE99" s="504" t="str">
        <f t="shared" si="43"/>
        <v xml:space="preserve">DIVERS CAISSE / PROTECTION DEMARREUR  / </v>
      </c>
      <c r="AF99" s="504"/>
    </row>
    <row r="100" spans="2:38" ht="15" customHeight="1" outlineLevel="1">
      <c r="B100" s="47"/>
      <c r="C100" s="35" t="s">
        <v>499</v>
      </c>
      <c r="D100" s="35"/>
      <c r="E100" s="35"/>
      <c r="F100" s="35" t="s">
        <v>500</v>
      </c>
      <c r="G100" s="35"/>
      <c r="H100" s="35"/>
      <c r="I100" s="102"/>
      <c r="K100" s="42">
        <v>1</v>
      </c>
      <c r="L100" s="106">
        <v>1</v>
      </c>
      <c r="M100" s="202"/>
      <c r="O100" s="446">
        <f>'INPUT1 - Veh Geometry'!$H$117</f>
        <v>-495</v>
      </c>
      <c r="P100" s="10">
        <f>'INPUT1 - Veh Geometry'!$I$117</f>
        <v>-574</v>
      </c>
      <c r="Q100" s="10">
        <f>'INPUT1 - Veh Geometry'!$J$117</f>
        <v>240</v>
      </c>
      <c r="R100" s="10">
        <f t="shared" ref="R100:S107" si="69">$Q100</f>
        <v>240</v>
      </c>
      <c r="S100" s="10">
        <f t="shared" si="69"/>
        <v>240</v>
      </c>
      <c r="T100" s="7">
        <f t="shared" ref="T100:T107" si="70">L100*K100-U100</f>
        <v>1.1714015151515151</v>
      </c>
      <c r="U100" s="48">
        <f t="shared" ref="U100:U108" si="71">IF(ISNUMBER(K100),L100*K100*(O100-$D$262)/E,)</f>
        <v>-0.17140151515151514</v>
      </c>
      <c r="V100" s="3"/>
      <c r="W100" s="3"/>
      <c r="X100" s="3"/>
      <c r="Y100" s="503">
        <f t="shared" si="48"/>
        <v>1</v>
      </c>
      <c r="Z100" s="1" t="s">
        <v>261</v>
      </c>
      <c r="AA100" s="504"/>
      <c r="AB100" s="504" t="str">
        <f t="shared" si="21"/>
        <v>DIVERS CAISSE</v>
      </c>
      <c r="AC100" s="504" t="str">
        <f t="shared" si="41"/>
        <v>AVERTISSEUR SONORE + bruiteur</v>
      </c>
      <c r="AD100" s="504" t="str">
        <f t="shared" si="42"/>
        <v/>
      </c>
      <c r="AE100" s="504" t="str">
        <f t="shared" si="43"/>
        <v xml:space="preserve">DIVERS CAISSE / AVERTISSEUR SONORE + bruiteur  / </v>
      </c>
      <c r="AF100" s="504"/>
      <c r="AH100" t="s">
        <v>501</v>
      </c>
      <c r="AL100" t="s">
        <v>502</v>
      </c>
    </row>
    <row r="101" spans="2:38" ht="15" customHeight="1" outlineLevel="1">
      <c r="B101" s="47"/>
      <c r="C101" s="35" t="s">
        <v>503</v>
      </c>
      <c r="D101" s="35"/>
      <c r="E101" s="35"/>
      <c r="F101" s="35" t="s">
        <v>504</v>
      </c>
      <c r="G101" s="35"/>
      <c r="H101" s="35"/>
      <c r="I101" s="102"/>
      <c r="K101" s="42"/>
      <c r="L101" s="106"/>
      <c r="M101" s="202"/>
      <c r="O101" s="446">
        <f>('INPUT1 - Veh Geometry'!$H$61+'INPUT1 - Veh Geometry'!$H$72)/2</f>
        <v>1277.5</v>
      </c>
      <c r="P101" s="10">
        <v>0</v>
      </c>
      <c r="Q101" s="10">
        <f>'INPUT1 - Veh Geometry'!$J$42-200</f>
        <v>190.3</v>
      </c>
      <c r="R101" s="10">
        <f t="shared" si="69"/>
        <v>190.3</v>
      </c>
      <c r="S101" s="10">
        <f t="shared" si="69"/>
        <v>190.3</v>
      </c>
      <c r="T101" s="7">
        <f t="shared" si="70"/>
        <v>0</v>
      </c>
      <c r="U101" s="48">
        <f t="shared" si="71"/>
        <v>0</v>
      </c>
      <c r="V101" s="3"/>
      <c r="W101" s="3"/>
      <c r="X101" s="3"/>
      <c r="Y101" s="503">
        <f t="shared" si="48"/>
        <v>0</v>
      </c>
      <c r="Z101" s="1" t="s">
        <v>441</v>
      </c>
      <c r="AA101" s="504"/>
      <c r="AB101" s="504" t="str">
        <f t="shared" si="21"/>
        <v>DIVERS CAISSE</v>
      </c>
      <c r="AC101" s="504" t="str">
        <f t="shared" si="41"/>
        <v>Bas de caisse rapportés</v>
      </c>
      <c r="AD101" s="504" t="str">
        <f t="shared" si="42"/>
        <v/>
      </c>
      <c r="AE101" s="504" t="str">
        <f t="shared" si="43"/>
        <v xml:space="preserve">DIVERS CAISSE / Bas de caisse rapportés  / </v>
      </c>
      <c r="AF101" s="504"/>
      <c r="AH101" t="s">
        <v>505</v>
      </c>
      <c r="AL101" t="s">
        <v>506</v>
      </c>
    </row>
    <row r="102" spans="2:38" ht="15" customHeight="1" outlineLevel="1">
      <c r="B102" s="47"/>
      <c r="C102" s="35" t="s">
        <v>507</v>
      </c>
      <c r="D102" s="35"/>
      <c r="E102" s="35"/>
      <c r="F102" s="35" t="s">
        <v>508</v>
      </c>
      <c r="G102" s="35"/>
      <c r="H102" s="35"/>
      <c r="I102" s="102"/>
      <c r="K102" s="42">
        <v>1</v>
      </c>
      <c r="L102" s="106">
        <v>5.0999999999999996</v>
      </c>
      <c r="M102" s="202"/>
      <c r="O102" s="446">
        <f>'INPUT1 - Veh Geometry'!H42</f>
        <v>1334</v>
      </c>
      <c r="P102" s="10">
        <v>0</v>
      </c>
      <c r="Q102" s="10">
        <f>'INPUT1 - Veh Geometry'!J34-('INPUT1 - Veh Geometry'!H81/2)+'INPUT1 - Veh Geometry'!J72-100</f>
        <v>1269.0999999999999</v>
      </c>
      <c r="R102" s="10">
        <f t="shared" si="69"/>
        <v>1269.0999999999999</v>
      </c>
      <c r="S102" s="10">
        <f t="shared" si="69"/>
        <v>1269.0999999999999</v>
      </c>
      <c r="T102" s="7">
        <f t="shared" si="70"/>
        <v>2.4408522727272723</v>
      </c>
      <c r="U102" s="48">
        <f t="shared" si="71"/>
        <v>2.6591477272727273</v>
      </c>
      <c r="V102" s="3"/>
      <c r="W102" s="3"/>
      <c r="X102" s="3"/>
      <c r="Y102" s="503">
        <f t="shared" si="48"/>
        <v>5.0999999999999996</v>
      </c>
      <c r="Z102" s="1" t="s">
        <v>261</v>
      </c>
      <c r="AA102" s="504"/>
      <c r="AB102" s="504" t="str">
        <f t="shared" si="21"/>
        <v>DIVERS CAISSE</v>
      </c>
      <c r="AC102" s="504" t="str">
        <f t="shared" si="41"/>
        <v>Enjoliveur Sup côté de caisse</v>
      </c>
      <c r="AD102" s="504" t="str">
        <f t="shared" si="42"/>
        <v/>
      </c>
      <c r="AE102" s="504" t="str">
        <f t="shared" si="43"/>
        <v xml:space="preserve">DIVERS CAISSE / Enjoliveur Sup côté de caisse  / </v>
      </c>
      <c r="AF102" s="504"/>
      <c r="AH102" t="s">
        <v>501</v>
      </c>
      <c r="AL102" t="s">
        <v>502</v>
      </c>
    </row>
    <row r="103" spans="2:38" ht="15" customHeight="1" outlineLevel="1">
      <c r="B103" s="47"/>
      <c r="C103" s="35" t="s">
        <v>509</v>
      </c>
      <c r="D103" s="35"/>
      <c r="E103" s="35"/>
      <c r="F103" s="35" t="s">
        <v>510</v>
      </c>
      <c r="G103" s="35"/>
      <c r="H103" s="35"/>
      <c r="I103" s="102"/>
      <c r="K103" s="42"/>
      <c r="L103" s="106"/>
      <c r="M103" s="202"/>
      <c r="O103" s="446">
        <f>('INPUT1 - Veh Geometry'!H42+'INPUT1 - Veh Geometry'!H49)/2</f>
        <v>1732</v>
      </c>
      <c r="P103" s="10">
        <v>0</v>
      </c>
      <c r="Q103" s="10">
        <f>'INPUT1 - Veh Geometry'!$J$34-'INPUT1 - Veh Geometry'!$H$81/2+'INPUT1 - Veh Geometry'!$J$61</f>
        <v>1360.1</v>
      </c>
      <c r="R103" s="10">
        <f t="shared" si="69"/>
        <v>1360.1</v>
      </c>
      <c r="S103" s="10">
        <f t="shared" si="69"/>
        <v>1360.1</v>
      </c>
      <c r="T103" s="7">
        <f t="shared" si="70"/>
        <v>0</v>
      </c>
      <c r="U103" s="48">
        <f t="shared" si="71"/>
        <v>0</v>
      </c>
      <c r="V103" s="3"/>
      <c r="W103" s="3"/>
      <c r="X103" s="3"/>
      <c r="Y103" s="503">
        <f t="shared" si="48"/>
        <v>0</v>
      </c>
      <c r="Z103" s="1" t="s">
        <v>441</v>
      </c>
      <c r="AA103" s="504"/>
      <c r="AB103" s="504" t="str">
        <f t="shared" si="21"/>
        <v>DIVERS CAISSE</v>
      </c>
      <c r="AC103" s="504" t="str">
        <f t="shared" si="41"/>
        <v>Barre de toit</v>
      </c>
      <c r="AD103" s="504" t="str">
        <f t="shared" si="42"/>
        <v/>
      </c>
      <c r="AE103" s="504" t="str">
        <f t="shared" si="43"/>
        <v xml:space="preserve">DIVERS CAISSE / Barre de toit  / </v>
      </c>
      <c r="AF103" s="504"/>
      <c r="AH103" t="s">
        <v>511</v>
      </c>
      <c r="AL103" t="s">
        <v>512</v>
      </c>
    </row>
    <row r="104" spans="2:38" ht="15" customHeight="1" outlineLevel="1">
      <c r="B104" s="47"/>
      <c r="C104" s="35" t="s">
        <v>513</v>
      </c>
      <c r="D104" s="35"/>
      <c r="E104" s="35"/>
      <c r="F104" s="35" t="s">
        <v>514</v>
      </c>
      <c r="G104" s="35"/>
      <c r="H104" s="35"/>
      <c r="I104" s="102"/>
      <c r="K104" s="42">
        <v>1</v>
      </c>
      <c r="L104" s="106">
        <v>3.8</v>
      </c>
      <c r="M104" s="202"/>
      <c r="O104" s="446">
        <f>'INPUT1 - Veh Geometry'!H45/5</f>
        <v>189.2</v>
      </c>
      <c r="P104" s="10">
        <v>0</v>
      </c>
      <c r="Q104" s="10">
        <f>'INPUT1 - Veh Geometry'!$J$45</f>
        <v>750</v>
      </c>
      <c r="R104" s="10">
        <f t="shared" si="69"/>
        <v>750</v>
      </c>
      <c r="S104" s="10">
        <f t="shared" si="69"/>
        <v>750</v>
      </c>
      <c r="T104" s="7">
        <f t="shared" si="70"/>
        <v>3.466492424242424</v>
      </c>
      <c r="U104" s="48">
        <f t="shared" si="71"/>
        <v>0.33350757575757572</v>
      </c>
      <c r="V104" s="3"/>
      <c r="W104" s="3"/>
      <c r="X104" s="3"/>
      <c r="Y104" s="503">
        <f t="shared" si="48"/>
        <v>3.8</v>
      </c>
      <c r="Z104" s="1" t="s">
        <v>441</v>
      </c>
      <c r="AA104" s="504"/>
      <c r="AB104" s="504" t="str">
        <f t="shared" ref="AB104:AB167" si="72">IF(B104&lt;&gt;0,B104,AB103)</f>
        <v>DIVERS CAISSE</v>
      </c>
      <c r="AC104" s="504" t="str">
        <f t="shared" si="41"/>
        <v>GRILLE AUVENT</v>
      </c>
      <c r="AD104" s="504" t="str">
        <f t="shared" si="42"/>
        <v/>
      </c>
      <c r="AE104" s="504" t="str">
        <f t="shared" si="43"/>
        <v xml:space="preserve">DIVERS CAISSE / GRILLE AUVENT  / </v>
      </c>
      <c r="AF104" s="504"/>
      <c r="AH104" t="s">
        <v>515</v>
      </c>
      <c r="AL104" t="s">
        <v>315</v>
      </c>
    </row>
    <row r="105" spans="2:38" ht="15" customHeight="1" outlineLevel="1">
      <c r="B105" s="47"/>
      <c r="C105" s="35" t="s">
        <v>516</v>
      </c>
      <c r="D105" s="35"/>
      <c r="E105" s="35"/>
      <c r="F105" s="35" t="s">
        <v>517</v>
      </c>
      <c r="G105" s="35"/>
      <c r="H105" s="35"/>
      <c r="I105" s="102"/>
      <c r="K105" s="42">
        <v>1</v>
      </c>
      <c r="L105" s="106">
        <v>0.9</v>
      </c>
      <c r="M105" s="202"/>
      <c r="O105" s="446">
        <f>'INPUT1 - Veh Geometry'!$H$72</f>
        <v>2597.5</v>
      </c>
      <c r="P105" s="10">
        <f>('INPUT1 - Veh Geometry'!I39/2-200)*-1</f>
        <v>-723</v>
      </c>
      <c r="Q105" s="10">
        <f>'INPUT1 - Veh Geometry'!$J$72+'INPUT1 - Veh Geometry'!$H$81/2+300</f>
        <v>732.9</v>
      </c>
      <c r="R105" s="10">
        <f t="shared" si="69"/>
        <v>732.9</v>
      </c>
      <c r="S105" s="10">
        <f t="shared" si="69"/>
        <v>732.9</v>
      </c>
      <c r="T105" s="7">
        <f t="shared" si="70"/>
        <v>0</v>
      </c>
      <c r="U105" s="48">
        <f t="shared" si="71"/>
        <v>0.9</v>
      </c>
      <c r="V105" s="3"/>
      <c r="W105" s="3"/>
      <c r="X105" s="3"/>
      <c r="Y105" s="503">
        <f t="shared" si="48"/>
        <v>0.9</v>
      </c>
      <c r="Z105" s="1" t="s">
        <v>441</v>
      </c>
      <c r="AA105" s="504"/>
      <c r="AB105" s="504" t="str">
        <f t="shared" si="72"/>
        <v>DIVERS CAISSE</v>
      </c>
      <c r="AC105" s="504" t="str">
        <f t="shared" si="41"/>
        <v>TRAPPE CARBURANT</v>
      </c>
      <c r="AD105" s="504" t="str">
        <f t="shared" si="42"/>
        <v/>
      </c>
      <c r="AE105" s="504" t="str">
        <f t="shared" si="43"/>
        <v xml:space="preserve">DIVERS CAISSE / TRAPPE CARBURANT  / </v>
      </c>
      <c r="AF105" s="504"/>
      <c r="AH105" t="s">
        <v>518</v>
      </c>
      <c r="AL105" t="s">
        <v>519</v>
      </c>
    </row>
    <row r="106" spans="2:38" ht="15" customHeight="1" outlineLevel="1">
      <c r="B106" s="47"/>
      <c r="C106" s="443" t="s">
        <v>520</v>
      </c>
      <c r="D106" s="35"/>
      <c r="E106" s="35"/>
      <c r="F106" s="35"/>
      <c r="G106" s="35"/>
      <c r="H106" s="35"/>
      <c r="I106" s="102"/>
      <c r="K106" s="42"/>
      <c r="L106" s="106"/>
      <c r="M106" s="202"/>
      <c r="O106" s="446">
        <f>'INPUT1 - Veh Geometry'!H61+25</f>
        <v>-17.5</v>
      </c>
      <c r="P106" s="10">
        <v>0</v>
      </c>
      <c r="Q106" s="10">
        <f>('INPUT1 - Veh Geometry'!H81/2)-75</f>
        <v>281.89999999999998</v>
      </c>
      <c r="R106" s="10">
        <f t="shared" si="69"/>
        <v>281.89999999999998</v>
      </c>
      <c r="S106" s="10">
        <f t="shared" si="69"/>
        <v>281.89999999999998</v>
      </c>
      <c r="T106" s="7">
        <f t="shared" si="70"/>
        <v>0</v>
      </c>
      <c r="U106" s="48">
        <f t="shared" si="71"/>
        <v>0</v>
      </c>
      <c r="V106" s="3"/>
      <c r="W106" s="3"/>
      <c r="X106" s="3"/>
      <c r="Y106" s="503">
        <f t="shared" si="48"/>
        <v>0</v>
      </c>
      <c r="Z106" s="1" t="s">
        <v>261</v>
      </c>
      <c r="AA106" s="504"/>
      <c r="AB106" s="504" t="str">
        <f t="shared" si="72"/>
        <v>DIVERS CAISSE</v>
      </c>
      <c r="AC106" s="504" t="str">
        <f t="shared" si="41"/>
        <v>Enjoliveur aile Av</v>
      </c>
      <c r="AD106" s="504" t="str">
        <f t="shared" si="42"/>
        <v/>
      </c>
      <c r="AE106" s="504" t="str">
        <f t="shared" si="43"/>
        <v xml:space="preserve">DIVERS CAISSE / Enjoliveur aile Av  / </v>
      </c>
      <c r="AF106" s="504"/>
      <c r="AH106" t="s">
        <v>501</v>
      </c>
      <c r="AL106" t="s">
        <v>502</v>
      </c>
    </row>
    <row r="107" spans="2:38" ht="15" customHeight="1" outlineLevel="1">
      <c r="B107" s="47"/>
      <c r="C107" s="443" t="s">
        <v>521</v>
      </c>
      <c r="D107" s="35"/>
      <c r="E107" s="35"/>
      <c r="F107" s="35"/>
      <c r="G107" s="35"/>
      <c r="H107" s="35"/>
      <c r="I107" s="102"/>
      <c r="K107" s="42"/>
      <c r="L107" s="106"/>
      <c r="M107" s="202"/>
      <c r="O107" s="446">
        <f>('INPUT1 - Veh Geometry'!H33+'INPUT1 - Veh Geometry'!H61)-25</f>
        <v>2572.5</v>
      </c>
      <c r="P107" s="10">
        <v>0</v>
      </c>
      <c r="Q107" s="10">
        <f>('INPUT1 - Veh Geometry'!H81/2)-75</f>
        <v>281.89999999999998</v>
      </c>
      <c r="R107" s="10">
        <f t="shared" si="69"/>
        <v>281.89999999999998</v>
      </c>
      <c r="S107" s="10">
        <f t="shared" si="69"/>
        <v>281.89999999999998</v>
      </c>
      <c r="T107" s="7">
        <f t="shared" si="70"/>
        <v>0</v>
      </c>
      <c r="U107" s="48">
        <f t="shared" si="71"/>
        <v>0</v>
      </c>
      <c r="V107" s="3"/>
      <c r="W107" s="3"/>
      <c r="X107" s="3"/>
      <c r="Y107" s="503">
        <f t="shared" si="48"/>
        <v>0</v>
      </c>
      <c r="Z107" s="1" t="s">
        <v>261</v>
      </c>
      <c r="AA107" s="504"/>
      <c r="AB107" s="504" t="str">
        <f t="shared" si="72"/>
        <v>DIVERS CAISSE</v>
      </c>
      <c r="AC107" s="504" t="str">
        <f t="shared" si="41"/>
        <v>Enjoliveur aile Ar</v>
      </c>
      <c r="AD107" s="504" t="str">
        <f t="shared" si="42"/>
        <v/>
      </c>
      <c r="AE107" s="504" t="str">
        <f t="shared" si="43"/>
        <v xml:space="preserve">DIVERS CAISSE / Enjoliveur aile Ar  / </v>
      </c>
      <c r="AF107" s="504"/>
      <c r="AH107" t="s">
        <v>501</v>
      </c>
      <c r="AL107" t="s">
        <v>502</v>
      </c>
    </row>
    <row r="108" spans="2:38" ht="15" customHeight="1" outlineLevel="1">
      <c r="B108" s="47"/>
      <c r="C108" s="35" t="s">
        <v>522</v>
      </c>
      <c r="D108" s="35"/>
      <c r="E108" s="35"/>
      <c r="F108" s="35"/>
      <c r="G108" s="35"/>
      <c r="H108" s="35"/>
      <c r="I108" s="102"/>
      <c r="K108" s="42"/>
      <c r="L108" s="106"/>
      <c r="M108" s="202"/>
      <c r="O108" s="446">
        <f>'INPUT1 - Veh Geometry'!H33/2+'INPUT1 - Veh Geometry'!H61</f>
        <v>1277.5</v>
      </c>
      <c r="P108" s="10">
        <v>0</v>
      </c>
      <c r="Q108" s="10">
        <v>0</v>
      </c>
      <c r="R108" s="10">
        <f>$Q108</f>
        <v>0</v>
      </c>
      <c r="S108" s="10">
        <f>$Q108</f>
        <v>0</v>
      </c>
      <c r="T108" s="7">
        <f>L108*K108-U108</f>
        <v>0</v>
      </c>
      <c r="U108" s="48">
        <f t="shared" si="71"/>
        <v>0</v>
      </c>
      <c r="V108" s="3"/>
      <c r="W108" s="3"/>
      <c r="X108" s="3"/>
      <c r="Y108" s="503">
        <f>IF(ISNUMBER(K108),L108*K108,0)</f>
        <v>0</v>
      </c>
      <c r="Z108" s="1" t="s">
        <v>441</v>
      </c>
      <c r="AA108" s="504"/>
      <c r="AB108" s="504" t="str">
        <f t="shared" si="72"/>
        <v>DIVERS CAISSE</v>
      </c>
      <c r="AC108" s="504" t="str">
        <f t="shared" si="41"/>
        <v>OBTURATEURS</v>
      </c>
      <c r="AD108" s="504" t="str">
        <f t="shared" si="42"/>
        <v/>
      </c>
      <c r="AE108" s="504" t="str">
        <f t="shared" si="43"/>
        <v xml:space="preserve">DIVERS CAISSE / OBTURATEURS  / </v>
      </c>
      <c r="AF108" s="504"/>
      <c r="AH108" t="s">
        <v>523</v>
      </c>
      <c r="AL108" t="s">
        <v>512</v>
      </c>
    </row>
    <row r="109" spans="2:38" ht="15" customHeight="1">
      <c r="B109" s="9" t="s">
        <v>524</v>
      </c>
      <c r="C109" s="8"/>
      <c r="D109" s="8"/>
      <c r="E109" s="8"/>
      <c r="F109" s="8" t="s">
        <v>525</v>
      </c>
      <c r="G109" s="8"/>
      <c r="H109" s="8"/>
      <c r="I109" s="29"/>
      <c r="K109" s="33"/>
      <c r="L109" s="22">
        <f>SUMPRODUCT(K110:K112,L110:L112)</f>
        <v>10</v>
      </c>
      <c r="M109" s="203"/>
      <c r="O109" s="33">
        <f>SUMPRODUCT($K110:$K112,$L110:$L112,O110:O112)/$L109</f>
        <v>787.43100000000015</v>
      </c>
      <c r="P109" s="23">
        <f t="shared" ref="P109" si="73">SUMPRODUCT($K110:$K112,$L110:$L112,P110:P112)/$L109</f>
        <v>0</v>
      </c>
      <c r="Q109" s="23">
        <f t="shared" ref="Q109" si="74">SUMPRODUCT($K110:$K112,$L110:$L112,Q110:Q112)/$L109</f>
        <v>531.79999999999995</v>
      </c>
      <c r="R109" s="23">
        <f t="shared" ref="R109" si="75">SUMPRODUCT($K110:$K112,$L110:$L112,R110:R112)/$L109</f>
        <v>531.79999999999995</v>
      </c>
      <c r="S109" s="23">
        <f t="shared" ref="S109" si="76">SUMPRODUCT($K110:$K112,$L110:$L112,S110:S112)/$L109</f>
        <v>531.79999999999995</v>
      </c>
      <c r="T109" s="22">
        <f>SUM(T110:T112)</f>
        <v>6.8563219696969693</v>
      </c>
      <c r="U109" s="32">
        <f>SUMIF($K110:$K112,"&gt;0",$U110:$U112)</f>
        <v>3.1436780303030307</v>
      </c>
      <c r="V109" s="3"/>
      <c r="W109" s="3"/>
      <c r="X109" s="3"/>
      <c r="Y109" s="503">
        <f t="shared" si="48"/>
        <v>0</v>
      </c>
      <c r="Z109" s="1" t="s">
        <v>261</v>
      </c>
      <c r="AA109" s="504"/>
      <c r="AB109" s="504" t="str">
        <f t="shared" si="72"/>
        <v>DIVERS EE (ADAS, audio)</v>
      </c>
      <c r="AC109" s="504" t="str">
        <f t="shared" si="41"/>
        <v>OBTURATEURS</v>
      </c>
      <c r="AD109" s="504" t="str">
        <f t="shared" si="42"/>
        <v/>
      </c>
      <c r="AE109" s="504" t="str">
        <f t="shared" si="43"/>
        <v xml:space="preserve">DIVERS EE (ADAS, audio) / OBTURATEURS  / </v>
      </c>
      <c r="AF109" s="504"/>
    </row>
    <row r="110" spans="2:38" ht="15" customHeight="1" outlineLevel="1">
      <c r="B110" s="47"/>
      <c r="C110" s="35" t="s">
        <v>526</v>
      </c>
      <c r="D110" s="35"/>
      <c r="E110" s="35"/>
      <c r="F110" s="35" t="s">
        <v>527</v>
      </c>
      <c r="G110" s="35"/>
      <c r="H110" s="35"/>
      <c r="I110" s="102"/>
      <c r="K110" s="42">
        <v>1</v>
      </c>
      <c r="L110" s="106">
        <v>1.8</v>
      </c>
      <c r="M110" s="202"/>
      <c r="O110" s="446">
        <f>('INPUT1 - Veh Geometry'!H33/2+'INPUT1 - Veh Geometry'!H61)*0.66</f>
        <v>843.15000000000009</v>
      </c>
      <c r="P110" s="10">
        <v>0</v>
      </c>
      <c r="Q110" s="10">
        <f>'INPUT1 - Veh Geometry'!$J$46</f>
        <v>531.79999999999995</v>
      </c>
      <c r="R110" s="10">
        <f t="shared" ref="R110:S112" si="77">$Q110</f>
        <v>531.79999999999995</v>
      </c>
      <c r="S110" s="10">
        <f t="shared" si="77"/>
        <v>531.79999999999995</v>
      </c>
      <c r="T110" s="7">
        <f t="shared" ref="T110:T112" si="78">L110*K110-U110</f>
        <v>1.1961477272727272</v>
      </c>
      <c r="U110" s="48">
        <f>IF(ISNUMBER(K110),L110*K110*(O110-$D$262)/E,)</f>
        <v>0.60385227272727282</v>
      </c>
      <c r="V110" s="3"/>
      <c r="W110" s="3"/>
      <c r="X110" s="3"/>
      <c r="Y110" s="503">
        <f t="shared" si="48"/>
        <v>1.8</v>
      </c>
      <c r="Z110" s="1" t="s">
        <v>261</v>
      </c>
      <c r="AA110" s="504"/>
      <c r="AB110" s="504" t="str">
        <f t="shared" si="72"/>
        <v>DIVERS EE (ADAS, audio)</v>
      </c>
      <c r="AC110" s="504" t="str">
        <f t="shared" si="41"/>
        <v>ADAS / Capteurs</v>
      </c>
      <c r="AD110" s="504" t="str">
        <f t="shared" si="42"/>
        <v/>
      </c>
      <c r="AE110" s="504" t="str">
        <f t="shared" si="43"/>
        <v xml:space="preserve">DIVERS EE (ADAS, audio) / ADAS / Capteurs  / </v>
      </c>
      <c r="AF110" s="504"/>
      <c r="AH110" t="s">
        <v>528</v>
      </c>
      <c r="AL110" t="s">
        <v>529</v>
      </c>
    </row>
    <row r="111" spans="2:38" ht="15" customHeight="1" outlineLevel="1">
      <c r="B111" s="47"/>
      <c r="C111" s="35" t="s">
        <v>530</v>
      </c>
      <c r="D111" s="35"/>
      <c r="E111" s="35"/>
      <c r="F111" s="35" t="s">
        <v>531</v>
      </c>
      <c r="G111" s="35"/>
      <c r="H111" s="35"/>
      <c r="I111" s="102"/>
      <c r="K111" s="42">
        <v>1</v>
      </c>
      <c r="L111" s="106">
        <v>2</v>
      </c>
      <c r="M111" s="202"/>
      <c r="O111" s="446">
        <f>'INPUT1 - Veh Geometry'!$H$46+300</f>
        <v>775.2</v>
      </c>
      <c r="P111" s="10">
        <v>0</v>
      </c>
      <c r="Q111" s="10">
        <f>'INPUT1 - Veh Geometry'!$J$46</f>
        <v>531.79999999999995</v>
      </c>
      <c r="R111" s="10">
        <f t="shared" si="77"/>
        <v>531.79999999999995</v>
      </c>
      <c r="S111" s="10">
        <f t="shared" si="77"/>
        <v>531.79999999999995</v>
      </c>
      <c r="T111" s="7">
        <f t="shared" si="78"/>
        <v>1.3805303030303029</v>
      </c>
      <c r="U111" s="48">
        <f>IF(ISNUMBER(K111),L111*K111*(O111-$D$262)/E,)</f>
        <v>0.619469696969697</v>
      </c>
      <c r="V111" s="3"/>
      <c r="W111" s="3"/>
      <c r="X111" s="3"/>
      <c r="Y111" s="503">
        <f t="shared" si="48"/>
        <v>2</v>
      </c>
      <c r="Z111" s="1" t="s">
        <v>261</v>
      </c>
      <c r="AA111" s="504"/>
      <c r="AB111" s="504" t="str">
        <f t="shared" si="72"/>
        <v>DIVERS EE (ADAS, audio)</v>
      </c>
      <c r="AC111" s="504" t="str">
        <f t="shared" si="41"/>
        <v>Système audio</v>
      </c>
      <c r="AD111" s="504" t="str">
        <f t="shared" si="42"/>
        <v/>
      </c>
      <c r="AE111" s="504" t="str">
        <f t="shared" si="43"/>
        <v xml:space="preserve">DIVERS EE (ADAS, audio) / Système audio  / </v>
      </c>
      <c r="AF111" s="504"/>
      <c r="AH111" t="s">
        <v>532</v>
      </c>
      <c r="AL111" t="s">
        <v>533</v>
      </c>
    </row>
    <row r="112" spans="2:38" ht="15" customHeight="1" outlineLevel="1">
      <c r="B112" s="47"/>
      <c r="C112" s="35" t="s">
        <v>534</v>
      </c>
      <c r="D112" s="35"/>
      <c r="E112" s="35"/>
      <c r="F112" s="35" t="s">
        <v>531</v>
      </c>
      <c r="G112" s="35"/>
      <c r="H112" s="35"/>
      <c r="I112" s="102"/>
      <c r="K112" s="42">
        <v>1</v>
      </c>
      <c r="L112" s="106">
        <v>6.2</v>
      </c>
      <c r="M112" s="202"/>
      <c r="O112" s="446">
        <f>'INPUT1 - Veh Geometry'!$H$46+300</f>
        <v>775.2</v>
      </c>
      <c r="P112" s="10">
        <v>0</v>
      </c>
      <c r="Q112" s="10">
        <f>'INPUT1 - Veh Geometry'!$J$46</f>
        <v>531.79999999999995</v>
      </c>
      <c r="R112" s="10">
        <f t="shared" si="77"/>
        <v>531.79999999999995</v>
      </c>
      <c r="S112" s="10">
        <f t="shared" si="77"/>
        <v>531.79999999999995</v>
      </c>
      <c r="T112" s="7">
        <f t="shared" si="78"/>
        <v>4.2796439393939396</v>
      </c>
      <c r="U112" s="48">
        <f>IF(ISNUMBER(K112),L112*K112*(O112-$D$262)/E,)</f>
        <v>1.9203560606060608</v>
      </c>
      <c r="V112" s="3"/>
      <c r="W112" s="3"/>
      <c r="X112" s="3"/>
      <c r="Y112" s="503">
        <f t="shared" si="48"/>
        <v>6.2</v>
      </c>
      <c r="Z112" s="1" t="s">
        <v>261</v>
      </c>
      <c r="AA112" s="504"/>
      <c r="AB112" s="504" t="str">
        <f t="shared" si="72"/>
        <v>DIVERS EE (ADAS, audio)</v>
      </c>
      <c r="AC112" s="504" t="str">
        <f t="shared" si="41"/>
        <v>Autre / Divers</v>
      </c>
      <c r="AD112" s="504" t="str">
        <f t="shared" si="42"/>
        <v/>
      </c>
      <c r="AE112" s="504" t="str">
        <f t="shared" si="43"/>
        <v xml:space="preserve">DIVERS EE (ADAS, audio) / Autre / Divers  / </v>
      </c>
      <c r="AF112" s="504"/>
      <c r="AH112" t="s">
        <v>532</v>
      </c>
      <c r="AL112" t="s">
        <v>533</v>
      </c>
    </row>
    <row r="113" spans="2:38" ht="14.45">
      <c r="B113" s="9" t="s">
        <v>535</v>
      </c>
      <c r="C113" s="8"/>
      <c r="D113" s="8"/>
      <c r="E113" s="8"/>
      <c r="F113" s="8" t="s">
        <v>536</v>
      </c>
      <c r="G113" s="8"/>
      <c r="H113" s="8"/>
      <c r="I113" s="29"/>
      <c r="K113" s="33"/>
      <c r="L113" s="22">
        <f>SUMPRODUCT(L114:L116,K114:K116)</f>
        <v>0.67</v>
      </c>
      <c r="M113" s="203"/>
      <c r="O113" s="33">
        <f>SUMPRODUCT($K114:$K116,$L114:$L116,O114:O116)/$L113</f>
        <v>934.00000000000011</v>
      </c>
      <c r="P113" s="23">
        <f>SUMPRODUCT($K114:$K116,$L114:$L116,P114:P116)/$L113</f>
        <v>0</v>
      </c>
      <c r="Q113" s="23">
        <f>SUMPRODUCT($K114:$K116,$L114:$L116,Q114:Q116)/$L113</f>
        <v>790.3</v>
      </c>
      <c r="R113" s="23">
        <f>SUMPRODUCT($K114:$K116,$L114:$L116,R114:R116)/$L113</f>
        <v>790.3</v>
      </c>
      <c r="S113" s="23">
        <f>SUMPRODUCT($K114:$K116,$L114:$L116,S114:S116)/$L113</f>
        <v>790.3</v>
      </c>
      <c r="T113" s="22">
        <f>SUM(T114:T116)</f>
        <v>0.42217613636363638</v>
      </c>
      <c r="U113" s="32">
        <f>SUMIF($K114:$K116,"&gt;0",$U114:$U116)</f>
        <v>0.24782386363636363</v>
      </c>
      <c r="V113" s="3"/>
      <c r="W113" s="3"/>
      <c r="X113" s="3"/>
      <c r="Y113" s="503">
        <f t="shared" si="48"/>
        <v>0</v>
      </c>
      <c r="Z113" s="1" t="s">
        <v>441</v>
      </c>
      <c r="AA113" s="504"/>
      <c r="AB113" s="504" t="str">
        <f t="shared" si="72"/>
        <v>DIVERS INT</v>
      </c>
      <c r="AC113" s="504" t="str">
        <f t="shared" si="41"/>
        <v>Autre / Divers</v>
      </c>
      <c r="AD113" s="504" t="str">
        <f t="shared" si="42"/>
        <v/>
      </c>
      <c r="AE113" s="504" t="str">
        <f t="shared" si="43"/>
        <v xml:space="preserve">DIVERS INT / Autre / Divers  / </v>
      </c>
      <c r="AF113" s="504"/>
    </row>
    <row r="114" spans="2:38" ht="15" customHeight="1" outlineLevel="1">
      <c r="B114" s="47"/>
      <c r="C114" s="35" t="s">
        <v>537</v>
      </c>
      <c r="D114" s="35"/>
      <c r="E114" s="35"/>
      <c r="F114" s="35" t="s">
        <v>538</v>
      </c>
      <c r="G114" s="35"/>
      <c r="H114" s="35"/>
      <c r="I114" s="102"/>
      <c r="K114" s="42">
        <v>1</v>
      </c>
      <c r="L114" s="106">
        <v>0.67</v>
      </c>
      <c r="M114" s="202"/>
      <c r="O114" s="446">
        <f>'INPUT1 - Veh Geometry'!H42-400</f>
        <v>934</v>
      </c>
      <c r="P114" s="10">
        <v>0</v>
      </c>
      <c r="Q114" s="10">
        <f>'INPUT1 - Veh Geometry'!J42+400</f>
        <v>790.3</v>
      </c>
      <c r="R114" s="10">
        <f t="shared" ref="R114:S131" si="79">$Q114</f>
        <v>790.3</v>
      </c>
      <c r="S114" s="10">
        <f t="shared" si="79"/>
        <v>790.3</v>
      </c>
      <c r="T114" s="7">
        <f t="shared" ref="T114:T116" si="80">L114*K114-U114</f>
        <v>0.42217613636363638</v>
      </c>
      <c r="U114" s="48">
        <f>IF(ISNUMBER(K114),L114*K114*(O114-$D$262)/E,)</f>
        <v>0.24782386363636363</v>
      </c>
      <c r="V114" s="3"/>
      <c r="W114" s="3"/>
      <c r="X114" s="3"/>
      <c r="Y114" s="503">
        <f t="shared" si="48"/>
        <v>0.67</v>
      </c>
      <c r="Z114" s="1" t="s">
        <v>334</v>
      </c>
      <c r="AA114" s="504"/>
      <c r="AB114" s="504" t="str">
        <f t="shared" si="72"/>
        <v>DIVERS INT</v>
      </c>
      <c r="AC114" s="504" t="str">
        <f t="shared" si="41"/>
        <v>Système rétroviseur</v>
      </c>
      <c r="AD114" s="504" t="str">
        <f t="shared" si="42"/>
        <v/>
      </c>
      <c r="AE114" s="504" t="str">
        <f t="shared" si="43"/>
        <v xml:space="preserve">DIVERS INT / Système rétroviseur  / </v>
      </c>
      <c r="AF114" s="504"/>
      <c r="AH114" t="s">
        <v>539</v>
      </c>
      <c r="AL114" t="s">
        <v>519</v>
      </c>
    </row>
    <row r="115" spans="2:38" ht="15" customHeight="1" outlineLevel="1">
      <c r="B115" s="47"/>
      <c r="C115" s="35" t="s">
        <v>540</v>
      </c>
      <c r="D115" s="35"/>
      <c r="E115" s="35"/>
      <c r="F115" s="35" t="s">
        <v>541</v>
      </c>
      <c r="G115" s="35"/>
      <c r="H115" s="35"/>
      <c r="I115" s="102"/>
      <c r="K115" s="42"/>
      <c r="L115" s="106"/>
      <c r="M115" s="202"/>
      <c r="O115" s="446">
        <f>'INPUT1 - Veh Geometry'!H57</f>
        <v>2750</v>
      </c>
      <c r="P115" s="10">
        <v>0</v>
      </c>
      <c r="Q115" s="10">
        <f>'INPUT1 - Veh Geometry'!J57-250</f>
        <v>375</v>
      </c>
      <c r="R115" s="10">
        <f t="shared" si="79"/>
        <v>375</v>
      </c>
      <c r="S115" s="10">
        <f t="shared" si="79"/>
        <v>375</v>
      </c>
      <c r="T115" s="7">
        <f t="shared" si="80"/>
        <v>0</v>
      </c>
      <c r="U115" s="48">
        <f>IF(ISNUMBER(K115),L115*K115*(O115-$D$262)/E,)</f>
        <v>0</v>
      </c>
      <c r="V115" s="3"/>
      <c r="W115" s="3"/>
      <c r="X115" s="3"/>
      <c r="Y115" s="503">
        <f t="shared" si="48"/>
        <v>0</v>
      </c>
      <c r="Z115" s="1" t="s">
        <v>441</v>
      </c>
      <c r="AA115" s="504"/>
      <c r="AB115" s="504" t="str">
        <f t="shared" si="72"/>
        <v>DIVERS INT</v>
      </c>
      <c r="AC115" s="504" t="str">
        <f t="shared" si="41"/>
        <v>Bac de rangement</v>
      </c>
      <c r="AD115" s="504" t="str">
        <f t="shared" si="42"/>
        <v/>
      </c>
      <c r="AE115" s="504" t="str">
        <f t="shared" si="43"/>
        <v xml:space="preserve">DIVERS INT / Bac de rangement  / </v>
      </c>
      <c r="AF115" s="504"/>
      <c r="AH115" t="s">
        <v>542</v>
      </c>
      <c r="AL115" t="s">
        <v>543</v>
      </c>
    </row>
    <row r="116" spans="2:38" ht="15" customHeight="1" outlineLevel="1">
      <c r="B116" s="47"/>
      <c r="C116" s="35" t="s">
        <v>544</v>
      </c>
      <c r="D116" s="35"/>
      <c r="E116" s="35"/>
      <c r="F116" s="35" t="s">
        <v>544</v>
      </c>
      <c r="G116" s="35"/>
      <c r="H116" s="35"/>
      <c r="I116" s="102"/>
      <c r="K116" s="42"/>
      <c r="L116" s="106"/>
      <c r="M116" s="202"/>
      <c r="O116" s="446">
        <f>(E+D262)/2*0.75</f>
        <v>974.0625</v>
      </c>
      <c r="P116" s="10">
        <v>0</v>
      </c>
      <c r="Q116" s="10">
        <f>'INPUT1 - Veh Geometry'!J34/5</f>
        <v>330</v>
      </c>
      <c r="R116" s="10">
        <f t="shared" si="79"/>
        <v>330</v>
      </c>
      <c r="S116" s="10">
        <f t="shared" si="79"/>
        <v>330</v>
      </c>
      <c r="T116" s="7">
        <f t="shared" si="80"/>
        <v>0</v>
      </c>
      <c r="U116" s="48">
        <f>IF(ISNUMBER(K116),L116*K116*(O116-$D$262)/E,)</f>
        <v>0</v>
      </c>
      <c r="V116" s="3"/>
      <c r="W116" s="3"/>
      <c r="X116" s="3"/>
      <c r="Y116" s="503">
        <f t="shared" si="48"/>
        <v>0</v>
      </c>
      <c r="Z116" s="1" t="s">
        <v>441</v>
      </c>
      <c r="AA116" s="504"/>
      <c r="AB116" s="504" t="str">
        <f t="shared" si="72"/>
        <v>DIVERS INT</v>
      </c>
      <c r="AC116" s="504" t="str">
        <f t="shared" si="41"/>
        <v>Divers INT</v>
      </c>
      <c r="AD116" s="504" t="str">
        <f t="shared" si="42"/>
        <v/>
      </c>
      <c r="AE116" s="504" t="str">
        <f t="shared" si="43"/>
        <v xml:space="preserve">DIVERS INT / Divers INT  / </v>
      </c>
      <c r="AF116" s="504"/>
      <c r="AH116" t="s">
        <v>542</v>
      </c>
      <c r="AL116" t="s">
        <v>543</v>
      </c>
    </row>
    <row r="117" spans="2:38" ht="15" customHeight="1">
      <c r="B117" s="9" t="s">
        <v>545</v>
      </c>
      <c r="C117" s="8"/>
      <c r="D117" s="8"/>
      <c r="E117" s="8"/>
      <c r="F117" s="8" t="s">
        <v>546</v>
      </c>
      <c r="G117" s="8"/>
      <c r="H117" s="8"/>
      <c r="I117" s="29"/>
      <c r="K117" s="33"/>
      <c r="L117" s="22">
        <f>SUMPRODUCT(L118:L119,K118:K119)</f>
        <v>0.1</v>
      </c>
      <c r="M117" s="203"/>
      <c r="O117" s="33">
        <f>SUMPRODUCT($K118:$K119,$L118:$L119,O118:O119)/$L117</f>
        <v>2600</v>
      </c>
      <c r="P117" s="23">
        <f>SUMPRODUCT($K118:$K119,$L118:$L119,P118:P119)/$L117</f>
        <v>0</v>
      </c>
      <c r="Q117" s="23">
        <f>SUMPRODUCT($K118:$K119,$L118:$L119,Q118:Q119)/$L117</f>
        <v>252.00000000000003</v>
      </c>
      <c r="R117" s="23">
        <f>SUMPRODUCT($K118:$K119,$L118:$L119,R118:R119)/$L117</f>
        <v>252.00000000000003</v>
      </c>
      <c r="S117" s="23">
        <f>SUMPRODUCT($K118:$K119,$L118:$L119,S118:S119)/$L117</f>
        <v>252.00000000000003</v>
      </c>
      <c r="T117" s="22">
        <f>SUM(T118:T119)</f>
        <v>-9.4696969696966837E-5</v>
      </c>
      <c r="U117" s="32">
        <f>SUMIF($K118:$K119,"&gt;0",$U118:$U119)</f>
        <v>0.10009469696969697</v>
      </c>
      <c r="V117" s="3"/>
      <c r="W117" s="3"/>
      <c r="X117" s="3"/>
      <c r="Y117" s="503">
        <f t="shared" si="48"/>
        <v>0</v>
      </c>
      <c r="Z117" s="1" t="s">
        <v>470</v>
      </c>
      <c r="AA117" s="504"/>
      <c r="AB117" s="504" t="str">
        <f t="shared" si="72"/>
        <v>DIVERS LAS anneau remorquage, KDPP</v>
      </c>
      <c r="AC117" s="504" t="str">
        <f t="shared" si="41"/>
        <v>Divers INT</v>
      </c>
      <c r="AD117" s="504" t="str">
        <f t="shared" si="42"/>
        <v/>
      </c>
      <c r="AE117" s="504" t="str">
        <f t="shared" si="43"/>
        <v xml:space="preserve">DIVERS LAS anneau remorquage, KDPP / Divers INT  / </v>
      </c>
      <c r="AF117" s="504"/>
    </row>
    <row r="118" spans="2:38" ht="15" customHeight="1" outlineLevel="1">
      <c r="B118" s="47"/>
      <c r="C118" s="35" t="s">
        <v>547</v>
      </c>
      <c r="D118" s="35"/>
      <c r="E118" s="35"/>
      <c r="F118" s="35" t="s">
        <v>548</v>
      </c>
      <c r="G118" s="35"/>
      <c r="H118" s="35"/>
      <c r="I118" s="102"/>
      <c r="K118" s="42">
        <v>1</v>
      </c>
      <c r="L118" s="106">
        <v>0.1</v>
      </c>
      <c r="M118" s="202"/>
      <c r="O118" s="446">
        <f>'INPUT1 - Veh Geometry'!$H$105</f>
        <v>2600</v>
      </c>
      <c r="P118" s="10">
        <f>'INPUT1 - Veh Geometry'!$I$105</f>
        <v>0</v>
      </c>
      <c r="Q118" s="10">
        <f>'INPUT1 - Veh Geometry'!$J$105</f>
        <v>252</v>
      </c>
      <c r="R118" s="10">
        <f t="shared" si="79"/>
        <v>252</v>
      </c>
      <c r="S118" s="10">
        <f t="shared" si="79"/>
        <v>252</v>
      </c>
      <c r="T118" s="7">
        <f t="shared" ref="T118:T119" si="81">L118*K118-U118</f>
        <v>-9.4696969696966837E-5</v>
      </c>
      <c r="U118" s="48">
        <f>IF(ISNUMBER(K118),L118*K118*(O118-$D$262)/E,)</f>
        <v>0.10009469696969697</v>
      </c>
      <c r="V118" s="3"/>
      <c r="W118" s="3"/>
      <c r="X118" s="3"/>
      <c r="Y118" s="503">
        <f t="shared" si="48"/>
        <v>0.1</v>
      </c>
      <c r="Z118" s="1" t="s">
        <v>470</v>
      </c>
      <c r="AA118" s="504"/>
      <c r="AB118" s="504" t="str">
        <f t="shared" si="72"/>
        <v>DIVERS LAS anneau remorquage, KDPP</v>
      </c>
      <c r="AC118" s="504" t="str">
        <f t="shared" si="41"/>
        <v>MODULE DE REPARATION / KDPP</v>
      </c>
      <c r="AD118" s="504" t="str">
        <f t="shared" si="42"/>
        <v/>
      </c>
      <c r="AE118" s="504" t="str">
        <f t="shared" si="43"/>
        <v xml:space="preserve">DIVERS LAS anneau remorquage, KDPP / MODULE DE REPARATION / KDPP  / </v>
      </c>
      <c r="AF118" s="504"/>
      <c r="AH118" t="s">
        <v>539</v>
      </c>
      <c r="AL118" t="s">
        <v>519</v>
      </c>
    </row>
    <row r="119" spans="2:38" ht="15" customHeight="1" outlineLevel="1">
      <c r="B119" s="47"/>
      <c r="C119" s="35" t="s">
        <v>549</v>
      </c>
      <c r="D119" s="35"/>
      <c r="E119" s="35"/>
      <c r="F119" s="35" t="s">
        <v>550</v>
      </c>
      <c r="G119" s="35"/>
      <c r="H119" s="35"/>
      <c r="I119" s="102"/>
      <c r="K119" s="42"/>
      <c r="L119" s="106"/>
      <c r="M119" s="202"/>
      <c r="O119" s="446">
        <f>'INPUT1 - Veh Geometry'!$H$105</f>
        <v>2600</v>
      </c>
      <c r="P119" s="10">
        <f>'INPUT1 - Veh Geometry'!$I$105</f>
        <v>0</v>
      </c>
      <c r="Q119" s="10">
        <f>'INPUT1 - Veh Geometry'!$J$105</f>
        <v>252</v>
      </c>
      <c r="R119" s="10">
        <f t="shared" si="79"/>
        <v>252</v>
      </c>
      <c r="S119" s="10">
        <f t="shared" si="79"/>
        <v>252</v>
      </c>
      <c r="T119" s="7">
        <f t="shared" si="81"/>
        <v>0</v>
      </c>
      <c r="U119" s="48">
        <f>IF(ISNUMBER(K119),L119*K119*(O119-$D$262)/E,)</f>
        <v>0</v>
      </c>
      <c r="V119" s="3"/>
      <c r="W119" s="3"/>
      <c r="X119" s="3"/>
      <c r="Y119" s="503">
        <f t="shared" si="48"/>
        <v>0</v>
      </c>
      <c r="Z119" s="1" t="s">
        <v>470</v>
      </c>
      <c r="AA119" s="504"/>
      <c r="AB119" s="504" t="str">
        <f t="shared" si="72"/>
        <v>DIVERS LAS anneau remorquage, KDPP</v>
      </c>
      <c r="AC119" s="504" t="str">
        <f t="shared" si="41"/>
        <v>GAZ BONBONNE AIR</v>
      </c>
      <c r="AD119" s="504" t="str">
        <f t="shared" si="42"/>
        <v/>
      </c>
      <c r="AE119" s="504" t="str">
        <f t="shared" si="43"/>
        <v xml:space="preserve">DIVERS LAS anneau remorquage, KDPP / GAZ BONBONNE AIR  / </v>
      </c>
      <c r="AF119" s="504"/>
      <c r="AH119" t="s">
        <v>551</v>
      </c>
      <c r="AL119" t="s">
        <v>552</v>
      </c>
    </row>
    <row r="120" spans="2:38" ht="15" customHeight="1">
      <c r="B120" s="9" t="s">
        <v>553</v>
      </c>
      <c r="C120" s="8"/>
      <c r="D120" s="8"/>
      <c r="E120" s="8"/>
      <c r="F120" s="8" t="s">
        <v>554</v>
      </c>
      <c r="G120" s="8"/>
      <c r="H120" s="8"/>
      <c r="I120" s="29"/>
      <c r="K120" s="33"/>
      <c r="L120" s="22">
        <f>SUMPRODUCT(L121:L126,K121:K126)</f>
        <v>9.3179999999999996</v>
      </c>
      <c r="M120" s="203"/>
      <c r="O120" s="33">
        <f>SUMPRODUCT($K121:$K126,$L121:$L126,O121:O126)/$L120</f>
        <v>626.16494955999144</v>
      </c>
      <c r="P120" s="23">
        <f t="shared" ref="P120:S120" si="82">SUMPRODUCT($K121:$K126,$L121:$L126,P121:P126)/$L120</f>
        <v>0</v>
      </c>
      <c r="Q120" s="23">
        <f t="shared" si="82"/>
        <v>600.62858982614296</v>
      </c>
      <c r="R120" s="23">
        <f t="shared" si="82"/>
        <v>600.62858982614296</v>
      </c>
      <c r="S120" s="23">
        <f t="shared" si="82"/>
        <v>600.62858982614296</v>
      </c>
      <c r="T120" s="22">
        <f>SUM(T121:T126)</f>
        <v>6.9579166666666667</v>
      </c>
      <c r="U120" s="32">
        <f>SUMIF($K121:$K126,"&gt;0",$U121:$U126)</f>
        <v>2.3600833333333329</v>
      </c>
      <c r="V120" s="3"/>
      <c r="W120" s="3"/>
      <c r="X120" s="3"/>
      <c r="Y120" s="503">
        <f t="shared" si="48"/>
        <v>0</v>
      </c>
      <c r="Z120" s="1" t="s">
        <v>334</v>
      </c>
      <c r="AA120" s="504"/>
      <c r="AB120" s="504" t="str">
        <f t="shared" si="72"/>
        <v>ECLAIRAGE</v>
      </c>
      <c r="AC120" s="504" t="str">
        <f t="shared" si="41"/>
        <v>GAZ BONBONNE AIR</v>
      </c>
      <c r="AD120" s="504" t="str">
        <f t="shared" si="42"/>
        <v/>
      </c>
      <c r="AE120" s="504" t="str">
        <f t="shared" si="43"/>
        <v xml:space="preserve">ECLAIRAGE / GAZ BONBONNE AIR  / </v>
      </c>
      <c r="AF120" s="504"/>
    </row>
    <row r="121" spans="2:38" ht="15" customHeight="1" outlineLevel="1">
      <c r="B121" s="47"/>
      <c r="C121" s="35" t="s">
        <v>555</v>
      </c>
      <c r="D121" s="35"/>
      <c r="E121" s="35"/>
      <c r="F121" s="35" t="s">
        <v>556</v>
      </c>
      <c r="G121" s="35"/>
      <c r="H121" s="35"/>
      <c r="I121" s="102"/>
      <c r="K121" s="42">
        <v>1</v>
      </c>
      <c r="L121" s="106">
        <v>0.2</v>
      </c>
      <c r="M121" s="202"/>
      <c r="O121" s="448">
        <f>'INPUT1 - Veh Geometry'!H61+'INPUT1 - Veh Geometry'!H33+100</f>
        <v>2697.5</v>
      </c>
      <c r="P121" s="13">
        <v>0</v>
      </c>
      <c r="Q121" s="13">
        <f>'INPUT1 - Veh Geometry'!J34-200</f>
        <v>1450</v>
      </c>
      <c r="R121" s="10">
        <f t="shared" si="79"/>
        <v>1450</v>
      </c>
      <c r="S121" s="10">
        <f t="shared" si="79"/>
        <v>1450</v>
      </c>
      <c r="T121" s="7">
        <f t="shared" ref="T121:T126" si="83">L121*K121-U121</f>
        <v>-7.575757575757569E-3</v>
      </c>
      <c r="U121" s="48">
        <f t="shared" ref="U121:U126" si="84">IF(ISNUMBER(K121),L121*K121*(O121-$D$262)/E,)</f>
        <v>0.20757575757575758</v>
      </c>
      <c r="V121" s="3"/>
      <c r="W121" s="3"/>
      <c r="X121" s="3"/>
      <c r="Y121" s="503">
        <f t="shared" si="48"/>
        <v>0.2</v>
      </c>
      <c r="Z121" s="1" t="s">
        <v>334</v>
      </c>
      <c r="AA121" s="504"/>
      <c r="AB121" s="504" t="str">
        <f t="shared" si="72"/>
        <v>ECLAIRAGE</v>
      </c>
      <c r="AC121" s="504" t="str">
        <f t="shared" si="41"/>
        <v>3EME FEU STOP</v>
      </c>
      <c r="AD121" s="504" t="str">
        <f t="shared" si="42"/>
        <v/>
      </c>
      <c r="AE121" s="504" t="str">
        <f t="shared" si="43"/>
        <v xml:space="preserve">ECLAIRAGE / 3EME FEU STOP  / </v>
      </c>
      <c r="AF121" s="504"/>
    </row>
    <row r="122" spans="2:38" ht="15" customHeight="1" outlineLevel="1">
      <c r="B122" s="47"/>
      <c r="C122" s="35" t="s">
        <v>557</v>
      </c>
      <c r="D122" s="35"/>
      <c r="E122" s="35"/>
      <c r="F122" s="35" t="s">
        <v>558</v>
      </c>
      <c r="G122" s="35"/>
      <c r="H122" s="35"/>
      <c r="I122" s="102"/>
      <c r="K122" s="42">
        <v>1</v>
      </c>
      <c r="L122" s="106">
        <v>0.2</v>
      </c>
      <c r="M122" s="202"/>
      <c r="O122" s="446">
        <f>'INPUT1 - Veh Geometry'!$H$72+'INPUT1 - Veh Geometry'!$H$36-200</f>
        <v>3097.5</v>
      </c>
      <c r="P122" s="10">
        <v>0</v>
      </c>
      <c r="Q122" s="10">
        <f>'INPUT1 - Veh Geometry'!J72+'INPUT1 - Veh Geometry'!H81/4</f>
        <v>254.45</v>
      </c>
      <c r="R122" s="10">
        <f t="shared" si="79"/>
        <v>254.45</v>
      </c>
      <c r="S122" s="10">
        <f t="shared" si="79"/>
        <v>254.45</v>
      </c>
      <c r="T122" s="7">
        <f t="shared" si="83"/>
        <v>-3.7878787878787873E-2</v>
      </c>
      <c r="U122" s="48">
        <f t="shared" si="84"/>
        <v>0.23787878787878788</v>
      </c>
      <c r="V122" s="3"/>
      <c r="W122" s="3"/>
      <c r="X122" s="3"/>
      <c r="Y122" s="503">
        <f t="shared" si="48"/>
        <v>0.2</v>
      </c>
      <c r="Z122" s="1" t="s">
        <v>334</v>
      </c>
      <c r="AA122" s="504"/>
      <c r="AB122" s="504" t="str">
        <f t="shared" si="72"/>
        <v>ECLAIRAGE</v>
      </c>
      <c r="AC122" s="504" t="str">
        <f t="shared" si="41"/>
        <v>AB. AR.</v>
      </c>
      <c r="AD122" s="504" t="str">
        <f t="shared" si="42"/>
        <v/>
      </c>
      <c r="AE122" s="504" t="str">
        <f t="shared" si="43"/>
        <v xml:space="preserve">ECLAIRAGE / AB. AR.  / </v>
      </c>
      <c r="AF122" s="504"/>
    </row>
    <row r="123" spans="2:38" ht="15" customHeight="1" outlineLevel="1">
      <c r="B123" s="47"/>
      <c r="C123" s="35" t="s">
        <v>559</v>
      </c>
      <c r="D123" s="35"/>
      <c r="E123" s="35"/>
      <c r="F123" s="35" t="s">
        <v>560</v>
      </c>
      <c r="G123" s="35"/>
      <c r="H123" s="35"/>
      <c r="I123" s="102"/>
      <c r="K123" s="42"/>
      <c r="L123" s="106">
        <v>0.5</v>
      </c>
      <c r="M123" s="202"/>
      <c r="O123" s="446">
        <f>'INPUT1 - Veh Geometry'!$H$61-2*'INPUT1 - Veh Geometry'!$H$35/3</f>
        <v>-589.16666666666663</v>
      </c>
      <c r="P123" s="10">
        <v>0</v>
      </c>
      <c r="Q123" s="10">
        <f>'INPUT1 - Veh Geometry'!$J$61</f>
        <v>67</v>
      </c>
      <c r="R123" s="10">
        <f t="shared" si="79"/>
        <v>67</v>
      </c>
      <c r="S123" s="10">
        <f t="shared" si="79"/>
        <v>67</v>
      </c>
      <c r="T123" s="7">
        <f t="shared" si="83"/>
        <v>0</v>
      </c>
      <c r="U123" s="48">
        <f t="shared" si="84"/>
        <v>0</v>
      </c>
      <c r="V123" s="3"/>
      <c r="W123" s="3"/>
      <c r="X123" s="3"/>
      <c r="Y123" s="503">
        <f t="shared" si="48"/>
        <v>0</v>
      </c>
      <c r="Z123" s="1" t="s">
        <v>334</v>
      </c>
      <c r="AA123" s="504"/>
      <c r="AB123" s="504" t="str">
        <f t="shared" si="72"/>
        <v>ECLAIRAGE</v>
      </c>
      <c r="AC123" s="504" t="str">
        <f t="shared" si="41"/>
        <v>AB. AV.</v>
      </c>
      <c r="AD123" s="504" t="str">
        <f t="shared" si="42"/>
        <v/>
      </c>
      <c r="AE123" s="504" t="str">
        <f t="shared" si="43"/>
        <v xml:space="preserve">ECLAIRAGE / AB. AV.  / </v>
      </c>
      <c r="AF123" s="504"/>
    </row>
    <row r="124" spans="2:38" ht="15" customHeight="1" outlineLevel="1">
      <c r="B124" s="47"/>
      <c r="C124" s="35" t="s">
        <v>561</v>
      </c>
      <c r="D124" s="35"/>
      <c r="E124" s="35"/>
      <c r="F124" s="35" t="s">
        <v>561</v>
      </c>
      <c r="G124" s="35"/>
      <c r="H124" s="35"/>
      <c r="I124" s="102"/>
      <c r="K124" s="42">
        <v>1</v>
      </c>
      <c r="L124" s="106">
        <v>0.3</v>
      </c>
      <c r="M124" s="202"/>
      <c r="O124" s="446">
        <f>'INPUT1 - Veh Geometry'!$H$61-2*'INPUT1 - Veh Geometry'!$H$35/3</f>
        <v>-589.16666666666663</v>
      </c>
      <c r="P124" s="10">
        <v>0</v>
      </c>
      <c r="Q124" s="10">
        <f>(Q123+Q126)/2</f>
        <v>295.45</v>
      </c>
      <c r="R124" s="10">
        <f t="shared" si="79"/>
        <v>295.45</v>
      </c>
      <c r="S124" s="10">
        <f t="shared" si="79"/>
        <v>295.45</v>
      </c>
      <c r="T124" s="7">
        <f t="shared" si="83"/>
        <v>0.36212121212121212</v>
      </c>
      <c r="U124" s="48">
        <f t="shared" si="84"/>
        <v>-6.2121212121212112E-2</v>
      </c>
      <c r="V124" s="3"/>
      <c r="W124" s="3"/>
      <c r="X124" s="3"/>
      <c r="Y124" s="503">
        <f t="shared" si="48"/>
        <v>0.3</v>
      </c>
      <c r="Z124" s="1" t="s">
        <v>334</v>
      </c>
      <c r="AA124" s="504"/>
      <c r="AB124" s="504" t="str">
        <f t="shared" si="72"/>
        <v>ECLAIRAGE</v>
      </c>
      <c r="AC124" s="504" t="str">
        <f t="shared" si="41"/>
        <v>DRL</v>
      </c>
      <c r="AD124" s="504" t="str">
        <f t="shared" si="42"/>
        <v/>
      </c>
      <c r="AE124" s="504" t="str">
        <f t="shared" si="43"/>
        <v xml:space="preserve">ECLAIRAGE / DRL  / </v>
      </c>
      <c r="AF124" s="504"/>
    </row>
    <row r="125" spans="2:38" ht="15" customHeight="1" outlineLevel="1">
      <c r="B125" s="47"/>
      <c r="C125" s="35" t="s">
        <v>562</v>
      </c>
      <c r="D125" s="35"/>
      <c r="E125" s="35"/>
      <c r="F125" s="35" t="s">
        <v>563</v>
      </c>
      <c r="G125" s="35"/>
      <c r="H125" s="35"/>
      <c r="I125" s="102"/>
      <c r="K125" s="42">
        <v>1</v>
      </c>
      <c r="L125" s="106">
        <v>2.5179999999999998</v>
      </c>
      <c r="M125" s="202"/>
      <c r="O125" s="446">
        <f>'INPUT1 - Veh Geometry'!H72+'INPUT1 - Veh Geometry'!H36-250</f>
        <v>3047.5</v>
      </c>
      <c r="P125" s="10">
        <v>0</v>
      </c>
      <c r="Q125" s="10">
        <f>'INPUT1 - Veh Geometry'!$J$72+'INPUT1 - Veh Geometry'!$H$81/2+350</f>
        <v>782.9</v>
      </c>
      <c r="R125" s="10">
        <f t="shared" si="79"/>
        <v>782.9</v>
      </c>
      <c r="S125" s="10">
        <f t="shared" si="79"/>
        <v>782.9</v>
      </c>
      <c r="T125" s="7">
        <f t="shared" si="83"/>
        <v>-0.42920454545454545</v>
      </c>
      <c r="U125" s="48">
        <f t="shared" si="84"/>
        <v>2.9472045454545452</v>
      </c>
      <c r="V125" s="3"/>
      <c r="W125" s="3"/>
      <c r="X125" s="3"/>
      <c r="Y125" s="503">
        <f t="shared" si="48"/>
        <v>2.5179999999999998</v>
      </c>
      <c r="Z125" s="1" t="s">
        <v>334</v>
      </c>
      <c r="AA125" s="504"/>
      <c r="AB125" s="504" t="str">
        <f t="shared" si="72"/>
        <v>ECLAIRAGE</v>
      </c>
      <c r="AC125" s="504" t="str">
        <f t="shared" si="41"/>
        <v>FEUX AR</v>
      </c>
      <c r="AD125" s="504" t="str">
        <f t="shared" si="42"/>
        <v/>
      </c>
      <c r="AE125" s="504" t="str">
        <f t="shared" si="43"/>
        <v xml:space="preserve">ECLAIRAGE / FEUX AR  / </v>
      </c>
      <c r="AF125" s="504"/>
    </row>
    <row r="126" spans="2:38" ht="15" customHeight="1" outlineLevel="1">
      <c r="B126" s="47"/>
      <c r="C126" s="35" t="s">
        <v>564</v>
      </c>
      <c r="D126" s="35"/>
      <c r="E126" s="35"/>
      <c r="F126" s="35" t="s">
        <v>565</v>
      </c>
      <c r="G126" s="35"/>
      <c r="H126" s="35"/>
      <c r="I126" s="102"/>
      <c r="K126" s="42">
        <v>1</v>
      </c>
      <c r="L126" s="106">
        <v>6.1</v>
      </c>
      <c r="M126" s="202"/>
      <c r="O126" s="446">
        <f>'INPUT1 - Veh Geometry'!$H$61-'INPUT1 - Veh Geometry'!$H$35+400</f>
        <v>-462.5</v>
      </c>
      <c r="P126" s="10">
        <v>0</v>
      </c>
      <c r="Q126" s="10">
        <f>'INPUT1 - Veh Geometry'!$J$61+'INPUT1 - Veh Geometry'!$H$81/2+100</f>
        <v>523.9</v>
      </c>
      <c r="R126" s="10">
        <f t="shared" si="79"/>
        <v>523.9</v>
      </c>
      <c r="S126" s="10">
        <f t="shared" si="79"/>
        <v>523.9</v>
      </c>
      <c r="T126" s="7">
        <f t="shared" si="83"/>
        <v>7.0704545454545453</v>
      </c>
      <c r="U126" s="48">
        <f t="shared" si="84"/>
        <v>-0.97045454545454546</v>
      </c>
      <c r="V126" s="3"/>
      <c r="W126" s="3"/>
      <c r="X126" s="3"/>
      <c r="Y126" s="503">
        <f t="shared" si="48"/>
        <v>6.1</v>
      </c>
      <c r="Z126" s="1" t="s">
        <v>334</v>
      </c>
      <c r="AA126" s="504"/>
      <c r="AB126" s="504" t="str">
        <f t="shared" si="72"/>
        <v>ECLAIRAGE</v>
      </c>
      <c r="AC126" s="504" t="str">
        <f t="shared" si="41"/>
        <v>PROJECTEURS</v>
      </c>
      <c r="AD126" s="504" t="str">
        <f t="shared" si="42"/>
        <v/>
      </c>
      <c r="AE126" s="504" t="str">
        <f t="shared" si="43"/>
        <v xml:space="preserve">ECLAIRAGE / PROJECTEURS  / </v>
      </c>
      <c r="AF126" s="504"/>
    </row>
    <row r="127" spans="2:38" ht="15" customHeight="1">
      <c r="B127" s="9" t="s">
        <v>566</v>
      </c>
      <c r="C127" s="8"/>
      <c r="D127" s="8"/>
      <c r="E127" s="8"/>
      <c r="F127" s="8" t="s">
        <v>567</v>
      </c>
      <c r="G127" s="8"/>
      <c r="H127" s="8"/>
      <c r="I127" s="29"/>
      <c r="K127" s="33"/>
      <c r="L127" s="22">
        <f>SUMPRODUCT(L128:L134,K128:K134)</f>
        <v>9.8000000000000007</v>
      </c>
      <c r="M127" s="203"/>
      <c r="O127" s="33">
        <f>SUMPRODUCT($K128:$K134,$L128:$L134,O128:O134)/$L127</f>
        <v>1277.5</v>
      </c>
      <c r="P127" s="23">
        <f t="shared" ref="P127:S127" si="85">SUMPRODUCT($K128:$K134,$L128:$L134,P128:P134)/$L127</f>
        <v>0</v>
      </c>
      <c r="Q127" s="23">
        <f t="shared" si="85"/>
        <v>-67</v>
      </c>
      <c r="R127" s="23">
        <f t="shared" si="85"/>
        <v>-67</v>
      </c>
      <c r="S127" s="23">
        <f t="shared" si="85"/>
        <v>-67</v>
      </c>
      <c r="T127" s="22">
        <f>SUM(T128:T134)</f>
        <v>4.9000000000000004</v>
      </c>
      <c r="U127" s="32">
        <f>SUMIF($K128:$K134,"&gt;0",$U128:$U134)</f>
        <v>4.9000000000000004</v>
      </c>
      <c r="V127" s="3"/>
      <c r="W127" s="3"/>
      <c r="X127" s="3"/>
      <c r="Y127" s="503">
        <f t="shared" si="48"/>
        <v>0</v>
      </c>
      <c r="Z127" s="1" t="s">
        <v>441</v>
      </c>
      <c r="AA127" s="504"/>
      <c r="AB127" s="504" t="str">
        <f t="shared" si="72"/>
        <v>ECRAN AERO</v>
      </c>
      <c r="AC127" s="504" t="str">
        <f t="shared" si="41"/>
        <v>PROJECTEURS</v>
      </c>
      <c r="AD127" s="504" t="str">
        <f t="shared" si="42"/>
        <v/>
      </c>
      <c r="AE127" s="504" t="str">
        <f t="shared" si="43"/>
        <v xml:space="preserve">ECRAN AERO / PROJECTEURS  / </v>
      </c>
      <c r="AF127" s="504"/>
    </row>
    <row r="128" spans="2:38" ht="15" customHeight="1" outlineLevel="1">
      <c r="B128" s="47"/>
      <c r="C128" s="35" t="s">
        <v>568</v>
      </c>
      <c r="D128" s="35"/>
      <c r="E128" s="35"/>
      <c r="F128" s="35" t="s">
        <v>569</v>
      </c>
      <c r="G128" s="35"/>
      <c r="H128" s="35"/>
      <c r="I128" s="102"/>
      <c r="K128" s="42"/>
      <c r="L128" s="106"/>
      <c r="M128" s="202"/>
      <c r="O128" s="446">
        <f>'INPUT1 - Veh Geometry'!$H$87/2</f>
        <v>-120.75</v>
      </c>
      <c r="P128" s="10">
        <v>0</v>
      </c>
      <c r="Q128" s="13">
        <f>'INPUT1 - Veh Geometry'!$J$56-100</f>
        <v>-67</v>
      </c>
      <c r="R128" s="10">
        <f t="shared" si="79"/>
        <v>-67</v>
      </c>
      <c r="S128" s="10">
        <f t="shared" si="79"/>
        <v>-67</v>
      </c>
      <c r="T128" s="7">
        <f t="shared" ref="T128:T134" si="86">L128*K128-U128</f>
        <v>0</v>
      </c>
      <c r="U128" s="48">
        <f t="shared" ref="U128:U134" si="87">IF(ISNUMBER(K128),L128*K128*(O128-$D$262)/E,)</f>
        <v>0</v>
      </c>
      <c r="V128" s="3"/>
      <c r="W128" s="3"/>
      <c r="X128" s="3"/>
      <c r="Y128" s="503">
        <f t="shared" si="48"/>
        <v>0</v>
      </c>
      <c r="Z128" s="1" t="s">
        <v>223</v>
      </c>
      <c r="AA128" s="504"/>
      <c r="AB128" s="504" t="str">
        <f t="shared" si="72"/>
        <v>ECRAN AERO</v>
      </c>
      <c r="AC128" s="504" t="str">
        <f t="shared" si="41"/>
        <v>Ecran sous moteur AV</v>
      </c>
      <c r="AD128" s="504" t="str">
        <f t="shared" si="42"/>
        <v/>
      </c>
      <c r="AE128" s="504" t="str">
        <f t="shared" si="43"/>
        <v xml:space="preserve">ECRAN AERO / Ecran sous moteur AV  / </v>
      </c>
      <c r="AF128" s="504"/>
      <c r="AH128" t="s">
        <v>570</v>
      </c>
      <c r="AL128" t="s">
        <v>571</v>
      </c>
    </row>
    <row r="129" spans="2:38" ht="15" customHeight="1" outlineLevel="1">
      <c r="B129" s="47"/>
      <c r="C129" s="35" t="s">
        <v>572</v>
      </c>
      <c r="D129" s="35"/>
      <c r="E129" s="35"/>
      <c r="F129" s="35"/>
      <c r="G129" s="35"/>
      <c r="H129" s="35"/>
      <c r="I129" s="102"/>
      <c r="K129" s="42"/>
      <c r="L129" s="106"/>
      <c r="M129" s="202"/>
      <c r="O129" s="446">
        <f>'INPUT1 - Veh Geometry'!$H$93-1000</f>
        <v>331</v>
      </c>
      <c r="P129" s="10">
        <v>0</v>
      </c>
      <c r="Q129" s="10">
        <f>'INPUT1 - Veh Geometry'!J93-25</f>
        <v>-34.5</v>
      </c>
      <c r="R129" s="10">
        <f t="shared" si="79"/>
        <v>-34.5</v>
      </c>
      <c r="S129" s="10">
        <f t="shared" si="79"/>
        <v>-34.5</v>
      </c>
      <c r="T129" s="7">
        <f t="shared" ref="T129" si="88">L129*K129-U129</f>
        <v>0</v>
      </c>
      <c r="U129" s="48">
        <f t="shared" si="87"/>
        <v>0</v>
      </c>
      <c r="V129" s="3"/>
      <c r="W129" s="3"/>
      <c r="X129" s="3"/>
      <c r="Y129" s="503">
        <f t="shared" ref="Y129" si="89">IF(ISNUMBER(K129),L129*K129,0)</f>
        <v>0</v>
      </c>
      <c r="Z129" s="1" t="s">
        <v>441</v>
      </c>
      <c r="AA129" s="504"/>
      <c r="AB129" s="504" t="str">
        <f t="shared" si="72"/>
        <v>ECRAN AERO</v>
      </c>
      <c r="AC129" s="504" t="str">
        <f t="shared" si="41"/>
        <v>Déflecteur Amon batterie</v>
      </c>
      <c r="AD129" s="504" t="str">
        <f t="shared" si="42"/>
        <v/>
      </c>
      <c r="AE129" s="504" t="str">
        <f t="shared" si="43"/>
        <v xml:space="preserve">ECRAN AERO / Déflecteur Amon batterie  / </v>
      </c>
      <c r="AF129" s="504"/>
      <c r="AH129" t="s">
        <v>573</v>
      </c>
      <c r="AL129" t="s">
        <v>574</v>
      </c>
    </row>
    <row r="130" spans="2:38" ht="15" customHeight="1" outlineLevel="1">
      <c r="B130" s="47"/>
      <c r="C130" s="35" t="s">
        <v>575</v>
      </c>
      <c r="D130" s="35"/>
      <c r="E130" s="35"/>
      <c r="F130" s="35"/>
      <c r="G130" s="35"/>
      <c r="H130" s="35"/>
      <c r="I130" s="102"/>
      <c r="K130" s="42"/>
      <c r="L130" s="106"/>
      <c r="M130" s="202"/>
      <c r="O130" s="446">
        <f>'INPUT1 - Veh Geometry'!H93</f>
        <v>1331</v>
      </c>
      <c r="P130" s="10">
        <f>'INPUT1 - Veh Geometry'!I93</f>
        <v>26</v>
      </c>
      <c r="Q130" s="10">
        <f>'INPUT1 - Veh Geometry'!J93+25</f>
        <v>15.5</v>
      </c>
      <c r="R130" s="10">
        <f t="shared" si="79"/>
        <v>15.5</v>
      </c>
      <c r="S130" s="10">
        <f t="shared" si="79"/>
        <v>15.5</v>
      </c>
      <c r="T130" s="7">
        <f t="shared" ref="T130" si="90">L130*K130-U130</f>
        <v>0</v>
      </c>
      <c r="U130" s="48">
        <f t="shared" si="87"/>
        <v>0</v>
      </c>
      <c r="V130" s="3"/>
      <c r="W130" s="3"/>
      <c r="X130" s="3"/>
      <c r="Y130" s="503">
        <f t="shared" ref="Y130" si="91">IF(ISNUMBER(K130),L130*K130,0)</f>
        <v>0</v>
      </c>
      <c r="Z130" s="1" t="s">
        <v>441</v>
      </c>
      <c r="AA130" s="504"/>
      <c r="AB130" s="504" t="str">
        <f t="shared" si="72"/>
        <v>ECRAN AERO</v>
      </c>
      <c r="AC130" s="504" t="str">
        <f t="shared" si="41"/>
        <v>Déflecteur Lat batterie</v>
      </c>
      <c r="AD130" s="504" t="str">
        <f t="shared" si="42"/>
        <v/>
      </c>
      <c r="AE130" s="504" t="str">
        <f t="shared" si="43"/>
        <v xml:space="preserve">ECRAN AERO / Déflecteur Lat batterie  / </v>
      </c>
      <c r="AF130" s="504"/>
      <c r="AH130" t="s">
        <v>573</v>
      </c>
      <c r="AL130" t="s">
        <v>574</v>
      </c>
    </row>
    <row r="131" spans="2:38" ht="15" customHeight="1" outlineLevel="1">
      <c r="B131" s="47"/>
      <c r="C131" s="35" t="s">
        <v>576</v>
      </c>
      <c r="D131" s="35"/>
      <c r="E131" s="35"/>
      <c r="F131" s="35" t="s">
        <v>577</v>
      </c>
      <c r="G131" s="35"/>
      <c r="H131" s="35"/>
      <c r="I131" s="102"/>
      <c r="K131" s="42"/>
      <c r="L131" s="106"/>
      <c r="M131" s="202"/>
      <c r="O131" s="446">
        <f>'INPUT1 - Veh Geometry'!$H$72-100</f>
        <v>2497.5</v>
      </c>
      <c r="P131" s="10">
        <v>0</v>
      </c>
      <c r="Q131" s="10">
        <f>'INPUT1 - Veh Geometry'!J72</f>
        <v>76</v>
      </c>
      <c r="R131" s="10">
        <f t="shared" si="79"/>
        <v>76</v>
      </c>
      <c r="S131" s="10">
        <f t="shared" si="79"/>
        <v>76</v>
      </c>
      <c r="T131" s="7">
        <f t="shared" si="86"/>
        <v>0</v>
      </c>
      <c r="U131" s="48">
        <f t="shared" si="87"/>
        <v>0</v>
      </c>
      <c r="V131" s="3"/>
      <c r="W131" s="3"/>
      <c r="X131" s="3"/>
      <c r="Y131" s="503">
        <f t="shared" si="48"/>
        <v>0</v>
      </c>
      <c r="Z131" s="1" t="s">
        <v>441</v>
      </c>
      <c r="AA131" s="504"/>
      <c r="AB131" s="504" t="str">
        <f t="shared" si="72"/>
        <v>ECRAN AERO</v>
      </c>
      <c r="AC131" s="504" t="str">
        <f t="shared" si="41"/>
        <v>Protecteurs sous essieu arrière</v>
      </c>
      <c r="AD131" s="504" t="str">
        <f t="shared" si="42"/>
        <v/>
      </c>
      <c r="AE131" s="504" t="str">
        <f t="shared" si="43"/>
        <v xml:space="preserve">ECRAN AERO / Protecteurs sous essieu arrière  / </v>
      </c>
      <c r="AF131" s="504"/>
      <c r="AH131" t="s">
        <v>573</v>
      </c>
      <c r="AL131" t="s">
        <v>574</v>
      </c>
    </row>
    <row r="132" spans="2:38" ht="15" customHeight="1" outlineLevel="1">
      <c r="B132" s="47"/>
      <c r="C132" s="35" t="s">
        <v>578</v>
      </c>
      <c r="D132" s="35"/>
      <c r="E132" s="35"/>
      <c r="F132" s="35" t="s">
        <v>579</v>
      </c>
      <c r="G132" s="35"/>
      <c r="H132" s="35"/>
      <c r="I132" s="102"/>
      <c r="K132" s="42">
        <v>1</v>
      </c>
      <c r="L132" s="106">
        <v>9.8000000000000007</v>
      </c>
      <c r="M132" s="202"/>
      <c r="O132" s="448">
        <f>('INPUT1 - Veh Geometry'!$H$61+'INPUT1 - Veh Geometry'!$H$72)/2</f>
        <v>1277.5</v>
      </c>
      <c r="P132" s="13">
        <v>0</v>
      </c>
      <c r="Q132" s="13">
        <f>'INPUT1 - Veh Geometry'!$J$56-100</f>
        <v>-67</v>
      </c>
      <c r="R132" s="10">
        <f t="shared" ref="R132:S149" si="92">$Q132</f>
        <v>-67</v>
      </c>
      <c r="S132" s="10">
        <f t="shared" si="92"/>
        <v>-67</v>
      </c>
      <c r="T132" s="7">
        <f t="shared" si="86"/>
        <v>4.9000000000000004</v>
      </c>
      <c r="U132" s="48">
        <f t="shared" si="87"/>
        <v>4.9000000000000004</v>
      </c>
      <c r="V132" s="3"/>
      <c r="W132" s="3"/>
      <c r="X132" s="3"/>
      <c r="Y132" s="503">
        <f t="shared" si="48"/>
        <v>9.8000000000000007</v>
      </c>
      <c r="Z132" s="1" t="s">
        <v>441</v>
      </c>
      <c r="AA132" s="504"/>
      <c r="AB132" s="504" t="str">
        <f t="shared" si="72"/>
        <v>ECRAN AERO</v>
      </c>
      <c r="AC132" s="504" t="str">
        <f t="shared" si="41"/>
        <v>Ecran sous plancher</v>
      </c>
      <c r="AD132" s="504" t="str">
        <f t="shared" si="42"/>
        <v/>
      </c>
      <c r="AE132" s="504" t="str">
        <f t="shared" si="43"/>
        <v xml:space="preserve">ECRAN AERO / Ecran sous plancher  / </v>
      </c>
      <c r="AF132" s="504"/>
      <c r="AH132" t="s">
        <v>580</v>
      </c>
      <c r="AL132" t="s">
        <v>581</v>
      </c>
    </row>
    <row r="133" spans="2:38" ht="15" customHeight="1" outlineLevel="1">
      <c r="B133" s="47"/>
      <c r="C133" s="35" t="s">
        <v>582</v>
      </c>
      <c r="D133" s="35"/>
      <c r="E133" s="35"/>
      <c r="F133" s="35" t="s">
        <v>583</v>
      </c>
      <c r="G133" s="35"/>
      <c r="H133" s="35"/>
      <c r="I133" s="102"/>
      <c r="K133" s="42"/>
      <c r="L133" s="106"/>
      <c r="M133" s="202"/>
      <c r="O133" s="448">
        <f>'INPUT1 - Veh Geometry'!$H$56-200</f>
        <v>1760</v>
      </c>
      <c r="P133" s="13">
        <v>0</v>
      </c>
      <c r="Q133" s="13">
        <f>'INPUT1 - Veh Geometry'!$J$56-100</f>
        <v>-67</v>
      </c>
      <c r="R133" s="10">
        <f t="shared" si="92"/>
        <v>-67</v>
      </c>
      <c r="S133" s="10">
        <f t="shared" si="92"/>
        <v>-67</v>
      </c>
      <c r="T133" s="7">
        <f t="shared" si="86"/>
        <v>0</v>
      </c>
      <c r="U133" s="48">
        <f t="shared" si="87"/>
        <v>0</v>
      </c>
      <c r="V133" s="3"/>
      <c r="W133" s="3"/>
      <c r="X133" s="3"/>
      <c r="Y133" s="503">
        <f t="shared" si="48"/>
        <v>0</v>
      </c>
      <c r="Z133" s="1" t="s">
        <v>441</v>
      </c>
      <c r="AA133" s="504"/>
      <c r="AB133" s="504" t="str">
        <f t="shared" si="72"/>
        <v>ECRAN AERO</v>
      </c>
      <c r="AC133" s="504" t="str">
        <f t="shared" si="41"/>
        <v>Ecran sous reservoir</v>
      </c>
      <c r="AD133" s="504" t="str">
        <f t="shared" si="42"/>
        <v/>
      </c>
      <c r="AE133" s="504" t="str">
        <f t="shared" si="43"/>
        <v xml:space="preserve">ECRAN AERO / Ecran sous reservoir  / </v>
      </c>
      <c r="AF133" s="504"/>
      <c r="AH133" t="s">
        <v>584</v>
      </c>
      <c r="AL133" t="s">
        <v>585</v>
      </c>
    </row>
    <row r="134" spans="2:38" ht="15" customHeight="1" outlineLevel="1">
      <c r="B134" s="47"/>
      <c r="C134" s="35" t="s">
        <v>586</v>
      </c>
      <c r="D134" s="35"/>
      <c r="E134" s="35"/>
      <c r="F134" s="35" t="s">
        <v>587</v>
      </c>
      <c r="G134" s="35"/>
      <c r="H134" s="35"/>
      <c r="I134" s="102"/>
      <c r="K134" s="42"/>
      <c r="L134" s="106"/>
      <c r="M134" s="202"/>
      <c r="O134" s="448">
        <f>'INPUT1 - Veh Geometry'!H$105+100</f>
        <v>2700</v>
      </c>
      <c r="P134" s="13">
        <v>0</v>
      </c>
      <c r="Q134" s="13">
        <f>'INPUT1 - Veh Geometry'!J$105-125</f>
        <v>127</v>
      </c>
      <c r="R134" s="10">
        <f t="shared" si="92"/>
        <v>127</v>
      </c>
      <c r="S134" s="10">
        <f t="shared" si="92"/>
        <v>127</v>
      </c>
      <c r="T134" s="7">
        <f t="shared" si="86"/>
        <v>0</v>
      </c>
      <c r="U134" s="48">
        <f t="shared" si="87"/>
        <v>0</v>
      </c>
      <c r="V134" s="3"/>
      <c r="W134" s="3"/>
      <c r="X134" s="3"/>
      <c r="Y134" s="503">
        <f t="shared" si="48"/>
        <v>0</v>
      </c>
      <c r="Z134" s="1" t="s">
        <v>441</v>
      </c>
      <c r="AA134" s="504"/>
      <c r="AB134" s="504" t="str">
        <f t="shared" si="72"/>
        <v>ECRAN AERO</v>
      </c>
      <c r="AC134" s="504" t="str">
        <f t="shared" si="41"/>
        <v>Ecran sous unité AR</v>
      </c>
      <c r="AD134" s="504" t="str">
        <f t="shared" si="42"/>
        <v/>
      </c>
      <c r="AE134" s="504" t="str">
        <f t="shared" si="43"/>
        <v xml:space="preserve">ECRAN AERO / Ecran sous unité AR  / </v>
      </c>
      <c r="AF134" s="504"/>
      <c r="AH134" t="s">
        <v>588</v>
      </c>
      <c r="AL134" t="s">
        <v>589</v>
      </c>
    </row>
    <row r="135" spans="2:38" ht="15" customHeight="1">
      <c r="B135" s="9" t="s">
        <v>590</v>
      </c>
      <c r="C135" s="8"/>
      <c r="D135" s="8"/>
      <c r="E135" s="8"/>
      <c r="F135" s="8" t="s">
        <v>591</v>
      </c>
      <c r="G135" s="8"/>
      <c r="H135" s="8"/>
      <c r="I135" s="29"/>
      <c r="K135" s="33"/>
      <c r="L135" s="22">
        <f>SUMPRODUCT(L136:L139,K136:K139)</f>
        <v>7.6999999999999993</v>
      </c>
      <c r="M135" s="203"/>
      <c r="O135" s="33">
        <f>SUMPRODUCT($L136:$L139,O136:O139,$K136:$K139)/$L135</f>
        <v>576.9454545454546</v>
      </c>
      <c r="P135" s="23">
        <f t="shared" ref="P135:S135" si="93">SUMPRODUCT($L136:$L139,P136:P139,$K136:$K139)/$L135</f>
        <v>-222.0779220779221</v>
      </c>
      <c r="Q135" s="23">
        <f t="shared" si="93"/>
        <v>681.80000000000007</v>
      </c>
      <c r="R135" s="23">
        <f>SUMPRODUCT($L136:$L139,R136:R139,$K136:$K139)/$L135</f>
        <v>681.80000000000007</v>
      </c>
      <c r="S135" s="23">
        <f t="shared" si="93"/>
        <v>681.80000000000007</v>
      </c>
      <c r="T135" s="22">
        <f>SUM(T136:T139)</f>
        <v>5.8932840909090913</v>
      </c>
      <c r="U135" s="32">
        <f>SUMIF($K136:$K139,"&gt;0",$U136:$U139)</f>
        <v>1.8067159090909093</v>
      </c>
      <c r="V135" s="3"/>
      <c r="W135" s="3"/>
      <c r="X135" s="3"/>
      <c r="Y135" s="503">
        <f t="shared" si="48"/>
        <v>0</v>
      </c>
      <c r="Z135" s="1" t="s">
        <v>334</v>
      </c>
      <c r="AA135" s="504"/>
      <c r="AB135" s="504" t="str">
        <f t="shared" si="72"/>
        <v>ESSUYAGE</v>
      </c>
      <c r="AC135" s="504" t="str">
        <f t="shared" ref="AC135:AC198" si="94">IF(C135&lt;&gt;0,C135,AC134)</f>
        <v>Ecran sous unité AR</v>
      </c>
      <c r="AD135" s="504" t="str">
        <f t="shared" ref="AD135:AD198" si="95">IF(D135&lt;&gt;"",D135,"")</f>
        <v/>
      </c>
      <c r="AE135" s="504" t="str">
        <f t="shared" ref="AE135:AE198" si="96">CONCATENATE(AB135," / ",AC135,"  / ",AD135)</f>
        <v xml:space="preserve">ESSUYAGE / Ecran sous unité AR  / </v>
      </c>
      <c r="AF135" s="504"/>
    </row>
    <row r="136" spans="2:38" ht="15" customHeight="1" outlineLevel="1">
      <c r="B136" s="47"/>
      <c r="C136" s="35" t="s">
        <v>592</v>
      </c>
      <c r="D136" s="35"/>
      <c r="E136" s="35"/>
      <c r="F136" s="35" t="s">
        <v>593</v>
      </c>
      <c r="G136" s="35"/>
      <c r="H136" s="35"/>
      <c r="I136" s="102"/>
      <c r="K136" s="42">
        <v>1</v>
      </c>
      <c r="L136" s="106">
        <v>3.5</v>
      </c>
      <c r="M136" s="202"/>
      <c r="O136" s="446">
        <f>'INPUT1 - Veh Geometry'!$H$46-300</f>
        <v>175.2</v>
      </c>
      <c r="P136" s="10">
        <f>'INPUT1 - Veh Geometry'!$I$46-100</f>
        <v>-100</v>
      </c>
      <c r="Q136" s="10">
        <f>'INPUT1 - Veh Geometry'!$J$46+150</f>
        <v>681.8</v>
      </c>
      <c r="R136" s="10">
        <f t="shared" si="92"/>
        <v>681.8</v>
      </c>
      <c r="S136" s="10">
        <f t="shared" si="92"/>
        <v>681.8</v>
      </c>
      <c r="T136" s="7">
        <f t="shared" ref="T136:T139" si="97">L136*K136-U136</f>
        <v>3.2113825757575758</v>
      </c>
      <c r="U136" s="48">
        <f>IF(ISNUMBER(K136),L136*K136*(O136-$D$262)/E,)</f>
        <v>0.2886174242424242</v>
      </c>
      <c r="V136" s="3"/>
      <c r="W136" s="3"/>
      <c r="X136" s="3"/>
      <c r="Y136" s="503">
        <f t="shared" si="48"/>
        <v>3.5</v>
      </c>
      <c r="Z136" s="1" t="s">
        <v>334</v>
      </c>
      <c r="AA136" s="504"/>
      <c r="AB136" s="504" t="str">
        <f t="shared" si="72"/>
        <v>ESSUYAGE</v>
      </c>
      <c r="AC136" s="504" t="str">
        <f t="shared" si="94"/>
        <v xml:space="preserve">AV  </v>
      </c>
      <c r="AD136" s="504" t="str">
        <f t="shared" si="95"/>
        <v/>
      </c>
      <c r="AE136" s="504" t="str">
        <f t="shared" si="96"/>
        <v xml:space="preserve">ESSUYAGE / AV    / </v>
      </c>
      <c r="AF136" s="504"/>
    </row>
    <row r="137" spans="2:38" ht="15" customHeight="1" outlineLevel="1">
      <c r="B137" s="47"/>
      <c r="C137" s="35" t="s">
        <v>594</v>
      </c>
      <c r="D137" s="35"/>
      <c r="E137" s="35"/>
      <c r="F137" s="35" t="s">
        <v>595</v>
      </c>
      <c r="G137" s="35"/>
      <c r="H137" s="35"/>
      <c r="I137" s="102"/>
      <c r="K137" s="42">
        <v>1</v>
      </c>
      <c r="L137" s="106">
        <v>0.8</v>
      </c>
      <c r="M137" s="202"/>
      <c r="O137" s="446">
        <f>'INPUT1 - Veh Geometry'!$H$128+200</f>
        <v>3192</v>
      </c>
      <c r="P137" s="10">
        <v>0</v>
      </c>
      <c r="Q137" s="10">
        <f>'INPUT1 - Veh Geometry'!$J$46+150</f>
        <v>681.8</v>
      </c>
      <c r="R137" s="10">
        <f t="shared" si="92"/>
        <v>681.8</v>
      </c>
      <c r="S137" s="10">
        <f t="shared" si="92"/>
        <v>681.8</v>
      </c>
      <c r="T137" s="7">
        <f t="shared" si="97"/>
        <v>-0.18015151515151528</v>
      </c>
      <c r="U137" s="48">
        <f>IF(ISNUMBER(K137),L137*K137*(O137-$D$262)/E,)</f>
        <v>0.98015151515151533</v>
      </c>
      <c r="V137" s="3"/>
      <c r="W137" s="3"/>
      <c r="X137" s="3"/>
      <c r="Y137" s="503">
        <f t="shared" si="48"/>
        <v>0.8</v>
      </c>
      <c r="Z137" s="1" t="s">
        <v>334</v>
      </c>
      <c r="AA137" s="504"/>
      <c r="AB137" s="504" t="str">
        <f t="shared" si="72"/>
        <v>ESSUYAGE</v>
      </c>
      <c r="AC137" s="504" t="str">
        <f t="shared" si="94"/>
        <v>AR</v>
      </c>
      <c r="AD137" s="504" t="str">
        <f t="shared" si="95"/>
        <v/>
      </c>
      <c r="AE137" s="504" t="str">
        <f t="shared" si="96"/>
        <v xml:space="preserve">ESSUYAGE / AR  / </v>
      </c>
      <c r="AF137" s="504"/>
    </row>
    <row r="138" spans="2:38" ht="15" customHeight="1" outlineLevel="1">
      <c r="B138" s="47"/>
      <c r="C138" s="35" t="s">
        <v>596</v>
      </c>
      <c r="D138" s="35"/>
      <c r="E138" s="35"/>
      <c r="F138" s="35" t="s">
        <v>597</v>
      </c>
      <c r="G138" s="35"/>
      <c r="H138" s="35"/>
      <c r="I138" s="102"/>
      <c r="K138" s="42"/>
      <c r="L138" s="106"/>
      <c r="M138" s="202"/>
      <c r="O138" s="446">
        <f>'INPUT1 - Veh Geometry'!$H$99</f>
        <v>-493</v>
      </c>
      <c r="P138" s="10">
        <f>'INPUT1 - Veh Geometry'!$I$99</f>
        <v>619</v>
      </c>
      <c r="Q138" s="10">
        <f>'INPUT1 - Veh Geometry'!$J$99</f>
        <v>175</v>
      </c>
      <c r="R138" s="10">
        <f t="shared" si="92"/>
        <v>175</v>
      </c>
      <c r="S138" s="10">
        <f t="shared" si="92"/>
        <v>175</v>
      </c>
      <c r="T138" s="7">
        <f t="shared" si="97"/>
        <v>0</v>
      </c>
      <c r="U138" s="48">
        <f>IF(ISNUMBER(K138),L138*K138*(O138-$D$262)/E,)</f>
        <v>0</v>
      </c>
      <c r="V138" s="3"/>
      <c r="W138" s="3"/>
      <c r="X138" s="3"/>
      <c r="Y138" s="503">
        <f t="shared" si="48"/>
        <v>0</v>
      </c>
      <c r="Z138" s="1" t="s">
        <v>334</v>
      </c>
      <c r="AA138" s="504"/>
      <c r="AB138" s="504" t="str">
        <f t="shared" si="72"/>
        <v>ESSUYAGE</v>
      </c>
      <c r="AC138" s="504" t="str">
        <f t="shared" si="94"/>
        <v>Bocal lave-vitre + liquide</v>
      </c>
      <c r="AD138" s="504" t="str">
        <f t="shared" si="95"/>
        <v/>
      </c>
      <c r="AE138" s="504" t="str">
        <f t="shared" si="96"/>
        <v xml:space="preserve">ESSUYAGE / Bocal lave-vitre + liquide  / </v>
      </c>
      <c r="AF138" s="504"/>
      <c r="AH138" t="s">
        <v>598</v>
      </c>
      <c r="AL138" t="s">
        <v>599</v>
      </c>
    </row>
    <row r="139" spans="2:38" ht="15" customHeight="1" outlineLevel="1">
      <c r="B139" s="47"/>
      <c r="C139" s="35" t="s">
        <v>600</v>
      </c>
      <c r="D139" s="35"/>
      <c r="E139" s="35"/>
      <c r="F139" s="35" t="s">
        <v>601</v>
      </c>
      <c r="G139" s="35"/>
      <c r="H139" s="35"/>
      <c r="I139" s="102"/>
      <c r="K139" s="42">
        <v>1</v>
      </c>
      <c r="L139" s="106">
        <v>3.4</v>
      </c>
      <c r="M139" s="202"/>
      <c r="O139" s="446">
        <f>'INPUT1 - Veh Geometry'!$H$46-100</f>
        <v>375.2</v>
      </c>
      <c r="P139" s="10">
        <f>'INPUT1 - Veh Geometry'!$I$46-400</f>
        <v>-400</v>
      </c>
      <c r="Q139" s="10">
        <f>'INPUT1 - Veh Geometry'!$J$46+150</f>
        <v>681.8</v>
      </c>
      <c r="R139" s="10">
        <f t="shared" si="92"/>
        <v>681.8</v>
      </c>
      <c r="S139" s="10">
        <f t="shared" si="92"/>
        <v>681.8</v>
      </c>
      <c r="T139" s="7">
        <f t="shared" si="97"/>
        <v>2.8620530303030303</v>
      </c>
      <c r="U139" s="48">
        <f>IF(ISNUMBER(K139),L139*K139*(O139-$D$262)/E,)</f>
        <v>0.53794696969696965</v>
      </c>
      <c r="V139" s="3"/>
      <c r="W139" s="3"/>
      <c r="X139" s="3"/>
      <c r="Y139" s="503">
        <f t="shared" si="48"/>
        <v>3.4</v>
      </c>
      <c r="Z139" s="1" t="s">
        <v>334</v>
      </c>
      <c r="AA139" s="504"/>
      <c r="AB139" s="504" t="str">
        <f t="shared" si="72"/>
        <v>ESSUYAGE</v>
      </c>
      <c r="AC139" s="504" t="str">
        <f t="shared" si="94"/>
        <v>Mécanisme EV</v>
      </c>
      <c r="AD139" s="504" t="str">
        <f t="shared" si="95"/>
        <v/>
      </c>
      <c r="AE139" s="504" t="str">
        <f t="shared" si="96"/>
        <v xml:space="preserve">ESSUYAGE / Mécanisme EV  / </v>
      </c>
      <c r="AF139" s="504"/>
    </row>
    <row r="140" spans="2:38" ht="15" customHeight="1">
      <c r="B140" s="9" t="s">
        <v>602</v>
      </c>
      <c r="C140" s="8"/>
      <c r="D140" s="8"/>
      <c r="E140" s="8"/>
      <c r="F140" s="8" t="s">
        <v>603</v>
      </c>
      <c r="G140" s="8"/>
      <c r="H140" s="8"/>
      <c r="I140" s="29"/>
      <c r="K140" s="33"/>
      <c r="L140" s="22">
        <f>SUMPRODUCT(L141:L142,K141:K142)</f>
        <v>6.5</v>
      </c>
      <c r="M140" s="203"/>
      <c r="O140" s="33">
        <f>SUMPRODUCT($K141:$K142,$L141:$L142,O141:O142)/$L140</f>
        <v>-359.6</v>
      </c>
      <c r="P140" s="23">
        <f>SUMPRODUCT($K141:$K142,$L141:$L142,P141:P142)/$L140</f>
        <v>-230</v>
      </c>
      <c r="Q140" s="23">
        <f>SUMPRODUCT($K141:$K142,$L141:$L142,Q141:Q142)/$L140</f>
        <v>120</v>
      </c>
      <c r="R140" s="23">
        <f>SUMPRODUCT($K141:$K142,$L141:$L142,R141:R142)/$L140</f>
        <v>120</v>
      </c>
      <c r="S140" s="23">
        <f>SUMPRODUCT($K141:$K142,$L141:$L142,S141:S142)/$L140</f>
        <v>120</v>
      </c>
      <c r="T140" s="22">
        <f>SUM(T141:T142)</f>
        <v>7.2807386363636368</v>
      </c>
      <c r="U140" s="32">
        <f>SUMIF($K141:$K142,"&gt;0",$U141:$U142)</f>
        <v>-0.78073863636363638</v>
      </c>
      <c r="V140" s="3"/>
      <c r="W140" s="3"/>
      <c r="X140" s="3"/>
      <c r="Y140" s="503">
        <f t="shared" si="48"/>
        <v>0</v>
      </c>
      <c r="Z140" s="1" t="s">
        <v>223</v>
      </c>
      <c r="AA140" s="504"/>
      <c r="AB140" s="504" t="str">
        <f t="shared" si="72"/>
        <v>FACADE AV</v>
      </c>
      <c r="AC140" s="504" t="str">
        <f t="shared" si="94"/>
        <v>Mécanisme EV</v>
      </c>
      <c r="AD140" s="504" t="str">
        <f t="shared" si="95"/>
        <v/>
      </c>
      <c r="AE140" s="504" t="str">
        <f t="shared" si="96"/>
        <v xml:space="preserve">FACADE AV / Mécanisme EV  / </v>
      </c>
      <c r="AF140" s="504"/>
    </row>
    <row r="141" spans="2:38" ht="15" customHeight="1" outlineLevel="1">
      <c r="B141" s="47"/>
      <c r="C141" s="35" t="s">
        <v>604</v>
      </c>
      <c r="D141" s="35"/>
      <c r="E141" s="35"/>
      <c r="F141" s="35" t="s">
        <v>605</v>
      </c>
      <c r="G141" s="35"/>
      <c r="H141" s="35"/>
      <c r="I141" s="102"/>
      <c r="K141" s="42"/>
      <c r="L141" s="106"/>
      <c r="M141" s="202"/>
      <c r="O141" s="446">
        <f>'INPUT1 - Veh Geometry'!$H$115</f>
        <v>-634.6</v>
      </c>
      <c r="P141" s="10">
        <f>'INPUT1 - Veh Geometry'!$I$115</f>
        <v>-188</v>
      </c>
      <c r="Q141" s="10">
        <f>'INPUT1 - Veh Geometry'!$J$115</f>
        <v>191</v>
      </c>
      <c r="R141" s="10">
        <f t="shared" si="92"/>
        <v>191</v>
      </c>
      <c r="S141" s="10">
        <f t="shared" si="92"/>
        <v>191</v>
      </c>
      <c r="T141" s="7">
        <f t="shared" ref="T141:T142" si="98">L141*K141-U141</f>
        <v>0</v>
      </c>
      <c r="U141" s="48">
        <f>IF(ISNUMBER(K141),L141*K141*(O141-$D$262)/E,)</f>
        <v>0</v>
      </c>
      <c r="V141" s="3"/>
      <c r="W141" s="3"/>
      <c r="X141" s="3"/>
      <c r="Y141" s="503">
        <f t="shared" si="48"/>
        <v>0</v>
      </c>
      <c r="Z141" s="1" t="s">
        <v>334</v>
      </c>
      <c r="AA141" s="504"/>
      <c r="AB141" s="504" t="str">
        <f t="shared" si="72"/>
        <v>FACADE AV</v>
      </c>
      <c r="AC141" s="504" t="str">
        <f t="shared" si="94"/>
        <v>MEAP/Ventilateur/Radiateur/Condenseur</v>
      </c>
      <c r="AD141" s="504" t="str">
        <f t="shared" si="95"/>
        <v/>
      </c>
      <c r="AE141" s="504" t="str">
        <f t="shared" si="96"/>
        <v xml:space="preserve">FACADE AV / MEAP/Ventilateur/Radiateur/Condenseur  / </v>
      </c>
      <c r="AF141" s="504"/>
      <c r="AH141" t="s">
        <v>606</v>
      </c>
      <c r="AL141" t="s">
        <v>607</v>
      </c>
    </row>
    <row r="142" spans="2:38" ht="15" customHeight="1" outlineLevel="1">
      <c r="B142" s="47"/>
      <c r="C142" s="35" t="s">
        <v>608</v>
      </c>
      <c r="D142" s="35"/>
      <c r="E142" s="35"/>
      <c r="F142" s="35" t="s">
        <v>609</v>
      </c>
      <c r="G142" s="35"/>
      <c r="H142" s="35"/>
      <c r="I142" s="102"/>
      <c r="K142" s="42">
        <v>1</v>
      </c>
      <c r="L142" s="106">
        <v>6.5</v>
      </c>
      <c r="M142" s="202"/>
      <c r="O142" s="446">
        <f>'INPUT1 - Veh Geometry'!$H$116</f>
        <v>-359.6</v>
      </c>
      <c r="P142" s="10">
        <f>'INPUT1 - Veh Geometry'!$I$116</f>
        <v>-230</v>
      </c>
      <c r="Q142" s="10">
        <f>'INPUT1 - Veh Geometry'!$J$116</f>
        <v>120</v>
      </c>
      <c r="R142" s="10">
        <f t="shared" si="92"/>
        <v>120</v>
      </c>
      <c r="S142" s="10">
        <f t="shared" si="92"/>
        <v>120</v>
      </c>
      <c r="T142" s="7">
        <f t="shared" si="98"/>
        <v>7.2807386363636368</v>
      </c>
      <c r="U142" s="48">
        <f>IF(ISNUMBER(K142),L142*K142*(O142-$D$262)/E,)</f>
        <v>-0.78073863636363638</v>
      </c>
      <c r="V142" s="3"/>
      <c r="W142" s="3"/>
      <c r="X142" s="3"/>
      <c r="Y142" s="503">
        <f t="shared" si="48"/>
        <v>6.5</v>
      </c>
      <c r="Z142" s="1" t="s">
        <v>334</v>
      </c>
      <c r="AA142" s="504"/>
      <c r="AB142" s="504" t="str">
        <f t="shared" si="72"/>
        <v>FACADE AV</v>
      </c>
      <c r="AC142" s="504" t="str">
        <f t="shared" si="94"/>
        <v xml:space="preserve"> Façade - Compléments</v>
      </c>
      <c r="AD142" s="504" t="str">
        <f t="shared" si="95"/>
        <v/>
      </c>
      <c r="AE142" s="504" t="str">
        <f t="shared" si="96"/>
        <v xml:space="preserve">FACADE AV /  Façade - Compléments  / </v>
      </c>
      <c r="AF142" s="504"/>
      <c r="AH142" t="s">
        <v>610</v>
      </c>
      <c r="AL142" t="s">
        <v>611</v>
      </c>
    </row>
    <row r="143" spans="2:38" ht="15" customHeight="1">
      <c r="B143" s="9" t="s">
        <v>612</v>
      </c>
      <c r="C143" s="8"/>
      <c r="D143" s="8"/>
      <c r="E143" s="8"/>
      <c r="F143" s="8" t="s">
        <v>613</v>
      </c>
      <c r="G143" s="8"/>
      <c r="H143" s="8"/>
      <c r="I143" s="29"/>
      <c r="K143" s="33"/>
      <c r="L143" s="22">
        <f>SUMPRODUCT(L144:L146,K144:K146)</f>
        <v>38.5</v>
      </c>
      <c r="M143" s="203"/>
      <c r="O143" s="33">
        <f>SUMPRODUCT($K144:$K146,$L144:$L146,O144:O146)/$L143</f>
        <v>956</v>
      </c>
      <c r="P143" s="23">
        <f>SUMPRODUCT($K144:$K146,$L144:$L146,P144:P146)/$L143</f>
        <v>-221.81818181818181</v>
      </c>
      <c r="Q143" s="23">
        <f>SUMPRODUCT($K144:$K146,$L144:$L146,Q144:Q146)/$L143</f>
        <v>354.66493506493509</v>
      </c>
      <c r="R143" s="23">
        <f>SUMPRODUCT($K144:$K146,$L144:$L146,R144:R146)/$L143</f>
        <v>354.66493506493509</v>
      </c>
      <c r="S143" s="23">
        <f>SUMPRODUCT($K144:$K146,$L144:$L146,S144:S146)/$L143</f>
        <v>354.66493506493509</v>
      </c>
      <c r="T143" s="22">
        <f>SUM(T144:T146)</f>
        <v>23.938541666666666</v>
      </c>
      <c r="U143" s="32">
        <f>SUMIF($K144:$K146,"&gt;0",$U144:$U146)</f>
        <v>14.561458333333333</v>
      </c>
      <c r="V143" s="3"/>
      <c r="W143" s="3"/>
      <c r="X143" s="3"/>
      <c r="Y143" s="503">
        <f t="shared" ref="Y143:Y204" si="99">IF(ISNUMBER(K143),L143*K143,0)</f>
        <v>0</v>
      </c>
      <c r="Z143" s="1" t="s">
        <v>261</v>
      </c>
      <c r="AA143" s="504"/>
      <c r="AB143" s="504" t="str">
        <f t="shared" si="72"/>
        <v>FAISCEAUX</v>
      </c>
      <c r="AC143" s="504" t="str">
        <f t="shared" si="94"/>
        <v xml:space="preserve"> Façade - Compléments</v>
      </c>
      <c r="AD143" s="504" t="str">
        <f t="shared" si="95"/>
        <v/>
      </c>
      <c r="AE143" s="504" t="str">
        <f t="shared" si="96"/>
        <v xml:space="preserve">FAISCEAUX /  Façade - Compléments  / </v>
      </c>
      <c r="AF143" s="504"/>
    </row>
    <row r="144" spans="2:38" ht="15" customHeight="1" outlineLevel="1">
      <c r="B144" s="47"/>
      <c r="C144" s="35" t="s">
        <v>614</v>
      </c>
      <c r="D144" s="35"/>
      <c r="E144" s="35"/>
      <c r="F144" s="35" t="s">
        <v>615</v>
      </c>
      <c r="G144" s="35"/>
      <c r="H144" s="35"/>
      <c r="I144" s="102"/>
      <c r="K144" s="42">
        <v>1</v>
      </c>
      <c r="L144" s="106">
        <v>30.5</v>
      </c>
      <c r="M144" s="202"/>
      <c r="O144" s="446">
        <f>'INPUT1 - Veh Geometry'!$H$109</f>
        <v>956</v>
      </c>
      <c r="P144" s="10">
        <f>'INPUT1 - Veh Geometry'!$I$109</f>
        <v>-280</v>
      </c>
      <c r="Q144" s="10">
        <f>'INPUT1 - Veh Geometry'!$J$109</f>
        <v>430</v>
      </c>
      <c r="R144" s="10">
        <f t="shared" si="92"/>
        <v>430</v>
      </c>
      <c r="S144" s="10">
        <f t="shared" si="92"/>
        <v>430</v>
      </c>
      <c r="T144" s="7">
        <f t="shared" ref="T144:T146" si="100">L144*K144-U144</f>
        <v>18.964299242424243</v>
      </c>
      <c r="U144" s="48">
        <f>IF(ISNUMBER(K144),L144*K144*(O144-$D$262)/E,)</f>
        <v>11.535700757575757</v>
      </c>
      <c r="V144" s="3"/>
      <c r="W144" s="3"/>
      <c r="X144" s="3"/>
      <c r="Y144" s="503">
        <f t="shared" si="99"/>
        <v>30.5</v>
      </c>
      <c r="Z144" s="1" t="s">
        <v>261</v>
      </c>
      <c r="AA144" s="504"/>
      <c r="AB144" s="504" t="str">
        <f t="shared" si="72"/>
        <v>FAISCEAUX</v>
      </c>
      <c r="AC144" s="504" t="str">
        <f t="shared" si="94"/>
        <v>FAISCEAU</v>
      </c>
      <c r="AD144" s="504" t="str">
        <f t="shared" si="95"/>
        <v/>
      </c>
      <c r="AE144" s="504" t="str">
        <f t="shared" si="96"/>
        <v xml:space="preserve">FAISCEAUX / FAISCEAU  / </v>
      </c>
      <c r="AF144" s="504"/>
      <c r="AH144" t="s">
        <v>616</v>
      </c>
      <c r="AL144" t="s">
        <v>617</v>
      </c>
    </row>
    <row r="145" spans="2:38" ht="15" customHeight="1" outlineLevel="2">
      <c r="B145" s="15"/>
      <c r="C145" s="14"/>
      <c r="D145" s="452" t="s">
        <v>618</v>
      </c>
      <c r="E145" s="14"/>
      <c r="F145" s="14" t="s">
        <v>619</v>
      </c>
      <c r="G145" s="14"/>
      <c r="H145" s="14"/>
      <c r="I145" s="28"/>
      <c r="K145" s="42"/>
      <c r="L145" s="106"/>
      <c r="M145" s="202"/>
      <c r="O145" s="446">
        <f>'INPUT1 - Veh Geometry'!H105</f>
        <v>2600</v>
      </c>
      <c r="P145" s="10">
        <f>'INPUT1 - Veh Geometry'!I105</f>
        <v>0</v>
      </c>
      <c r="Q145" s="10">
        <f>'INPUT1 - Veh Geometry'!J105</f>
        <v>252</v>
      </c>
      <c r="R145" s="10">
        <f>$Q145</f>
        <v>252</v>
      </c>
      <c r="S145" s="10">
        <f>$Q145</f>
        <v>252</v>
      </c>
      <c r="T145" s="7">
        <f>L145*K145-U145</f>
        <v>0</v>
      </c>
      <c r="U145" s="48">
        <f>IF(ISNUMBER(K145),L145*K145*(O145-$D$262)/E,)</f>
        <v>0</v>
      </c>
      <c r="V145" s="3"/>
      <c r="W145" s="3"/>
      <c r="X145" s="3"/>
      <c r="Y145" s="503">
        <f>IF(ISNUMBER(K145),L145*K145,0)</f>
        <v>0</v>
      </c>
      <c r="Z145" s="1" t="str">
        <f>IF(K145=0,"","DCTC")</f>
        <v/>
      </c>
      <c r="AA145" s="504"/>
      <c r="AB145" s="504" t="str">
        <f t="shared" si="72"/>
        <v>FAISCEAUX</v>
      </c>
      <c r="AC145" s="504" t="str">
        <f t="shared" si="94"/>
        <v>FAISCEAU</v>
      </c>
      <c r="AD145" s="504" t="str">
        <f t="shared" si="95"/>
        <v>Cordon de charge</v>
      </c>
      <c r="AE145" s="504" t="str">
        <f t="shared" si="96"/>
        <v>FAISCEAUX / FAISCEAU  / Cordon de charge</v>
      </c>
      <c r="AF145" s="504"/>
      <c r="AH145" t="s">
        <v>620</v>
      </c>
      <c r="AL145" t="s">
        <v>621</v>
      </c>
    </row>
    <row r="146" spans="2:38" ht="15" customHeight="1" outlineLevel="1">
      <c r="B146" s="47"/>
      <c r="C146" s="35" t="s">
        <v>622</v>
      </c>
      <c r="D146" s="35"/>
      <c r="E146" s="35"/>
      <c r="F146" s="35" t="s">
        <v>623</v>
      </c>
      <c r="G146" s="35"/>
      <c r="H146" s="35"/>
      <c r="I146" s="102"/>
      <c r="K146" s="42">
        <v>1</v>
      </c>
      <c r="L146" s="106">
        <v>8</v>
      </c>
      <c r="M146" s="202"/>
      <c r="O146" s="446">
        <f>'INPUT1 - Veh Geometry'!$H$109</f>
        <v>956</v>
      </c>
      <c r="P146" s="10">
        <v>0</v>
      </c>
      <c r="Q146" s="10">
        <f>('INPUT1 - Veh Geometry'!J93+'INPUT1 - Veh Geometry'!J87)/2</f>
        <v>67.45</v>
      </c>
      <c r="R146" s="10">
        <f t="shared" si="92"/>
        <v>67.45</v>
      </c>
      <c r="S146" s="10">
        <f t="shared" si="92"/>
        <v>67.45</v>
      </c>
      <c r="T146" s="7">
        <f t="shared" si="100"/>
        <v>4.9742424242424246</v>
      </c>
      <c r="U146" s="48">
        <f>IF(ISNUMBER(K146),L146*K146*(O146-$D$262)/E,)</f>
        <v>3.0257575757575759</v>
      </c>
      <c r="V146" s="3"/>
      <c r="W146" s="3"/>
      <c r="X146" s="3"/>
      <c r="Y146" s="503">
        <f t="shared" si="99"/>
        <v>8</v>
      </c>
      <c r="Z146" s="1" t="s">
        <v>261</v>
      </c>
      <c r="AA146" s="504"/>
      <c r="AB146" s="504" t="str">
        <f t="shared" si="72"/>
        <v>FAISCEAUX</v>
      </c>
      <c r="AC146" s="504" t="str">
        <f t="shared" si="94"/>
        <v>FAISCEAU DE PUISSANCE</v>
      </c>
      <c r="AD146" s="504" t="str">
        <f t="shared" si="95"/>
        <v/>
      </c>
      <c r="AE146" s="504" t="str">
        <f t="shared" si="96"/>
        <v xml:space="preserve">FAISCEAUX / FAISCEAU DE PUISSANCE  / </v>
      </c>
      <c r="AF146" s="504"/>
      <c r="AH146" t="s">
        <v>624</v>
      </c>
      <c r="AL146" t="s">
        <v>625</v>
      </c>
    </row>
    <row r="147" spans="2:38" ht="15" customHeight="1">
      <c r="B147" s="9" t="s">
        <v>626</v>
      </c>
      <c r="C147" s="8"/>
      <c r="D147" s="8"/>
      <c r="E147" s="8"/>
      <c r="F147" s="8" t="s">
        <v>627</v>
      </c>
      <c r="G147" s="8"/>
      <c r="H147" s="8"/>
      <c r="I147" s="29"/>
      <c r="K147" s="33"/>
      <c r="L147" s="22">
        <f>SUMPRODUCT(L148:L160,K148:K160)</f>
        <v>63.425999999999995</v>
      </c>
      <c r="M147" s="203"/>
      <c r="O147" s="33">
        <f>SUMPRODUCT($K148:$K160,$L148:$L160,O148:O160)/$L147</f>
        <v>978.65820010721154</v>
      </c>
      <c r="P147" s="23">
        <f t="shared" ref="P147:S147" si="101">SUMPRODUCT($K148:$K160,$L148:$L160,P148:P160)/$L147</f>
        <v>-34.868981174912498</v>
      </c>
      <c r="Q147" s="23">
        <f t="shared" si="101"/>
        <v>114.30479614038408</v>
      </c>
      <c r="R147" s="23">
        <f t="shared" si="101"/>
        <v>84.63642670198341</v>
      </c>
      <c r="S147" s="23">
        <f t="shared" si="101"/>
        <v>127.99107621480151</v>
      </c>
      <c r="T147" s="22">
        <f>SUMIF($K148:$K160,"&gt;0",$T148:$T160)</f>
        <v>38.892674242424242</v>
      </c>
      <c r="U147" s="32">
        <f>SUMIF($K148:$K160,"&gt;0",$U148:$U160)</f>
        <v>24.533325757575756</v>
      </c>
      <c r="V147" s="3"/>
      <c r="W147" s="3"/>
      <c r="X147" s="3"/>
      <c r="Y147" s="503">
        <f t="shared" si="99"/>
        <v>0</v>
      </c>
      <c r="Z147" s="1" t="s">
        <v>470</v>
      </c>
      <c r="AA147" s="504"/>
      <c r="AB147" s="504" t="str">
        <f t="shared" si="72"/>
        <v>FREINAGE</v>
      </c>
      <c r="AC147" s="504" t="str">
        <f t="shared" si="94"/>
        <v>FAISCEAU DE PUISSANCE</v>
      </c>
      <c r="AD147" s="504" t="str">
        <f t="shared" si="95"/>
        <v/>
      </c>
      <c r="AE147" s="504" t="str">
        <f t="shared" si="96"/>
        <v xml:space="preserve">FREINAGE / FAISCEAU DE PUISSANCE  / </v>
      </c>
      <c r="AF147" s="504"/>
    </row>
    <row r="148" spans="2:38" ht="15" customHeight="1" outlineLevel="1">
      <c r="B148" s="47"/>
      <c r="C148" s="35" t="s">
        <v>628</v>
      </c>
      <c r="D148" s="35"/>
      <c r="E148" s="35"/>
      <c r="F148" s="35" t="s">
        <v>127</v>
      </c>
      <c r="G148" s="35"/>
      <c r="H148" s="35"/>
      <c r="I148" s="102"/>
      <c r="K148" s="42">
        <v>1</v>
      </c>
      <c r="L148" s="106">
        <v>5.7</v>
      </c>
      <c r="M148" s="202"/>
      <c r="O148" s="446">
        <f>'INPUT1 - Veh Geometry'!H$107</f>
        <v>92</v>
      </c>
      <c r="P148" s="10">
        <f>'INPUT1 - Veh Geometry'!I$107</f>
        <v>-388</v>
      </c>
      <c r="Q148" s="10">
        <f>'INPUT1 - Veh Geometry'!J$107</f>
        <v>477</v>
      </c>
      <c r="R148" s="10">
        <f t="shared" si="92"/>
        <v>477</v>
      </c>
      <c r="S148" s="10">
        <f t="shared" si="92"/>
        <v>477</v>
      </c>
      <c r="T148" s="7">
        <f t="shared" ref="T148:T151" si="102">L148*K148-U148</f>
        <v>5.4096022727272732</v>
      </c>
      <c r="U148" s="48">
        <f>IF(ISNUMBER(K148),L148*K148*(O148-$D$262)/E,)</f>
        <v>0.29039772727272728</v>
      </c>
      <c r="V148" s="3"/>
      <c r="W148" s="3"/>
      <c r="X148" s="3"/>
      <c r="Y148" s="503">
        <f t="shared" si="99"/>
        <v>5.7</v>
      </c>
      <c r="Z148" s="1" t="s">
        <v>470</v>
      </c>
      <c r="AA148" s="504"/>
      <c r="AB148" s="504" t="str">
        <f t="shared" si="72"/>
        <v>FREINAGE</v>
      </c>
      <c r="AC148" s="504" t="str">
        <f t="shared" si="94"/>
        <v>ABS / ESP</v>
      </c>
      <c r="AD148" s="504" t="str">
        <f t="shared" si="95"/>
        <v/>
      </c>
      <c r="AE148" s="504" t="str">
        <f t="shared" si="96"/>
        <v xml:space="preserve">FREINAGE / ABS / ESP  / </v>
      </c>
      <c r="AF148" s="504"/>
    </row>
    <row r="149" spans="2:38" ht="15" customHeight="1" outlineLevel="1">
      <c r="B149" s="47"/>
      <c r="C149" s="35" t="s">
        <v>629</v>
      </c>
      <c r="D149" s="35"/>
      <c r="E149" s="35"/>
      <c r="F149" s="35" t="s">
        <v>630</v>
      </c>
      <c r="G149" s="35"/>
      <c r="H149" s="35"/>
      <c r="I149" s="102"/>
      <c r="K149" s="42"/>
      <c r="L149" s="106"/>
      <c r="M149" s="202"/>
      <c r="O149" s="446">
        <f>'INPUT1 - Veh Geometry'!$H$103</f>
        <v>194</v>
      </c>
      <c r="P149" s="10">
        <f>'INPUT1 - Veh Geometry'!$I$103</f>
        <v>-254</v>
      </c>
      <c r="Q149" s="10">
        <f>'INPUT1 - Veh Geometry'!$J$103</f>
        <v>462</v>
      </c>
      <c r="R149" s="10">
        <f t="shared" si="92"/>
        <v>462</v>
      </c>
      <c r="S149" s="10">
        <f t="shared" si="92"/>
        <v>462</v>
      </c>
      <c r="T149" s="7">
        <f t="shared" si="102"/>
        <v>0</v>
      </c>
      <c r="U149" s="48">
        <f>IF(ISNUMBER(K149),L149*K149*(O149-$D$262)/E,)</f>
        <v>0</v>
      </c>
      <c r="V149" s="3"/>
      <c r="W149" s="3"/>
      <c r="X149" s="3"/>
      <c r="Y149" s="503">
        <f t="shared" si="99"/>
        <v>0</v>
      </c>
      <c r="Z149" s="1" t="s">
        <v>470</v>
      </c>
      <c r="AA149" s="504"/>
      <c r="AB149" s="504" t="str">
        <f t="shared" si="72"/>
        <v>FREINAGE</v>
      </c>
      <c r="AC149" s="504" t="str">
        <f t="shared" si="94"/>
        <v>AMCT</v>
      </c>
      <c r="AD149" s="504" t="str">
        <f t="shared" si="95"/>
        <v/>
      </c>
      <c r="AE149" s="504" t="str">
        <f t="shared" si="96"/>
        <v xml:space="preserve">FREINAGE / AMCT  / </v>
      </c>
      <c r="AF149" s="504"/>
      <c r="AH149" t="s">
        <v>631</v>
      </c>
    </row>
    <row r="150" spans="2:38" ht="15" customHeight="1" outlineLevel="1">
      <c r="B150" s="47"/>
      <c r="C150" s="35" t="s">
        <v>632</v>
      </c>
      <c r="D150" s="35"/>
      <c r="E150" s="35"/>
      <c r="F150" s="35"/>
      <c r="G150" s="35"/>
      <c r="H150" s="35"/>
      <c r="I150" s="102"/>
      <c r="K150" s="42">
        <v>1</v>
      </c>
      <c r="L150" s="106">
        <v>4.0999999999999996</v>
      </c>
      <c r="M150" s="202"/>
      <c r="O150" s="446">
        <f>(('INPUT1 - Veh Geometry'!H72-'INPUT1 - Veh Geometry'!H107)+('INPUT1 - Veh Geometry'!H61+'INPUT1 - Veh Geometry'!H107)+'INPUT1 - Veh Geometry'!H107)/5</f>
        <v>529.4</v>
      </c>
      <c r="P150" s="10">
        <v>0</v>
      </c>
      <c r="Q150" s="10">
        <f>'INPUT1 - Veh Geometry'!$J$72</f>
        <v>76</v>
      </c>
      <c r="R150" s="10">
        <f t="shared" ref="R150:S151" si="103">$Q150</f>
        <v>76</v>
      </c>
      <c r="S150" s="10">
        <f t="shared" si="103"/>
        <v>76</v>
      </c>
      <c r="T150" s="7">
        <f t="shared" si="102"/>
        <v>3.2118219696969694</v>
      </c>
      <c r="U150" s="48">
        <f>IF(ISNUMBER(K150),L150*K150*(O150-$D$262)/E,)</f>
        <v>0.88817803030303011</v>
      </c>
      <c r="V150" s="3"/>
      <c r="W150" s="3"/>
      <c r="X150" s="3"/>
      <c r="Y150" s="503">
        <f t="shared" si="99"/>
        <v>4.0999999999999996</v>
      </c>
      <c r="Z150" s="1" t="s">
        <v>470</v>
      </c>
      <c r="AA150" s="504"/>
      <c r="AB150" s="504" t="str">
        <f t="shared" si="72"/>
        <v>FREINAGE</v>
      </c>
      <c r="AC150" s="504" t="str">
        <f t="shared" si="94"/>
        <v>EQUIPEMENT FREINAGE (including liquid)</v>
      </c>
      <c r="AD150" s="504" t="str">
        <f t="shared" si="95"/>
        <v/>
      </c>
      <c r="AE150" s="504" t="str">
        <f t="shared" si="96"/>
        <v xml:space="preserve">FREINAGE / EQUIPEMENT FREINAGE (including liquid)  / </v>
      </c>
      <c r="AF150" s="504"/>
    </row>
    <row r="151" spans="2:38" ht="15" customHeight="1" outlineLevel="1">
      <c r="B151" s="47"/>
      <c r="C151" s="35" t="s">
        <v>633</v>
      </c>
      <c r="D151" s="35"/>
      <c r="E151" s="35"/>
      <c r="F151" s="35" t="s">
        <v>634</v>
      </c>
      <c r="G151" s="35"/>
      <c r="H151" s="35"/>
      <c r="I151" s="102"/>
      <c r="K151" s="42"/>
      <c r="L151" s="106"/>
      <c r="M151" s="202"/>
      <c r="O151" s="446">
        <f>'INPUT1 - Veh Geometry'!$H$42-400</f>
        <v>934</v>
      </c>
      <c r="P151" s="10">
        <v>0</v>
      </c>
      <c r="Q151" s="10">
        <f>'INPUT1 - Veh Geometry'!$J$42-100</f>
        <v>290.3</v>
      </c>
      <c r="R151" s="10">
        <f t="shared" si="103"/>
        <v>290.3</v>
      </c>
      <c r="S151" s="10">
        <f t="shared" si="103"/>
        <v>290.3</v>
      </c>
      <c r="T151" s="7">
        <f t="shared" si="102"/>
        <v>0</v>
      </c>
      <c r="U151" s="48">
        <f>IF(ISNUMBER(K151),L151*K151*(O151-$D$262)/E,)</f>
        <v>0</v>
      </c>
      <c r="V151" s="3"/>
      <c r="W151" s="3"/>
      <c r="X151" s="3"/>
      <c r="Y151" s="503">
        <f t="shared" si="99"/>
        <v>0</v>
      </c>
      <c r="Z151" s="1" t="s">
        <v>470</v>
      </c>
      <c r="AA151" s="504"/>
      <c r="AB151" s="504" t="str">
        <f t="shared" si="72"/>
        <v>FREINAGE</v>
      </c>
      <c r="AC151" s="504" t="str">
        <f t="shared" si="94"/>
        <v>FREIN A MAIN</v>
      </c>
      <c r="AD151" s="504" t="str">
        <f t="shared" si="95"/>
        <v/>
      </c>
      <c r="AE151" s="504" t="str">
        <f t="shared" si="96"/>
        <v xml:space="preserve">FREINAGE / FREIN A MAIN  / </v>
      </c>
      <c r="AF151" s="504"/>
      <c r="AH151" t="s">
        <v>635</v>
      </c>
      <c r="AL151" t="s">
        <v>636</v>
      </c>
    </row>
    <row r="152" spans="2:38" ht="15" customHeight="1" outlineLevel="1">
      <c r="B152" s="47"/>
      <c r="C152" s="35" t="s">
        <v>637</v>
      </c>
      <c r="D152" s="35"/>
      <c r="E152" s="35"/>
      <c r="F152" s="35" t="s">
        <v>638</v>
      </c>
      <c r="G152" s="35"/>
      <c r="H152" s="35"/>
      <c r="I152" s="102"/>
      <c r="K152" s="55" t="s">
        <v>153</v>
      </c>
      <c r="L152" s="58">
        <f>SUMPRODUCT(L153:L155,K153:K155)</f>
        <v>24.206</v>
      </c>
      <c r="M152" s="202"/>
      <c r="O152" s="55">
        <f>SUMPRODUCT(O153:O155,L153:L155,K153:K155)/L152</f>
        <v>2597.5</v>
      </c>
      <c r="P152" s="57" cm="1">
        <f t="array" ref="P152">SUMPRODUCT(L153:L155*K153:K155*P153:P155)</f>
        <v>0</v>
      </c>
      <c r="Q152" s="57">
        <f>SUMPRODUCT(Q153:Q155,$L153:$L155,$K153:$K155)/$L152</f>
        <v>76</v>
      </c>
      <c r="R152" s="57">
        <f>SUMPRODUCT(R153:R155,$L153:$L155,$K153:$K155)/$L152</f>
        <v>25</v>
      </c>
      <c r="S152" s="57">
        <f>SUMPRODUCT(S153:S155,$L153:$L155,$K153:$K155)/$L152</f>
        <v>107</v>
      </c>
      <c r="T152" s="58">
        <f>L152-U152</f>
        <v>0</v>
      </c>
      <c r="U152" s="56">
        <f>L152*(O152-$D$262)/E</f>
        <v>24.206</v>
      </c>
      <c r="V152" s="3"/>
      <c r="W152" s="3"/>
      <c r="X152" s="3"/>
      <c r="Y152" s="503">
        <f t="shared" si="99"/>
        <v>0</v>
      </c>
      <c r="Z152" s="1" t="s">
        <v>470</v>
      </c>
      <c r="AA152" s="504"/>
      <c r="AB152" s="504" t="str">
        <f t="shared" si="72"/>
        <v>FREINAGE</v>
      </c>
      <c r="AC152" s="504" t="str">
        <f t="shared" si="94"/>
        <v>FREIN AR</v>
      </c>
      <c r="AD152" s="504" t="str">
        <f t="shared" si="95"/>
        <v/>
      </c>
      <c r="AE152" s="504" t="str">
        <f t="shared" si="96"/>
        <v xml:space="preserve">FREINAGE / FREIN AR  / </v>
      </c>
      <c r="AF152" s="504"/>
      <c r="AH152" t="s">
        <v>639</v>
      </c>
      <c r="AL152" t="s">
        <v>640</v>
      </c>
    </row>
    <row r="153" spans="2:38" ht="15" customHeight="1" outlineLevel="2">
      <c r="B153" s="12"/>
      <c r="C153" s="17"/>
      <c r="D153" s="17" t="s">
        <v>641</v>
      </c>
      <c r="E153" s="17"/>
      <c r="F153" s="17"/>
      <c r="G153" s="17" t="s">
        <v>642</v>
      </c>
      <c r="H153" s="17"/>
      <c r="I153" s="30"/>
      <c r="K153" s="42">
        <v>1</v>
      </c>
      <c r="L153" s="106">
        <v>24.206</v>
      </c>
      <c r="M153" s="205">
        <f>IF('INPUT1 - Veh Geometry'!$G$77="Twisted beam",'UNSPRUNG Mass estimation'!F57,'UNSPRUNG Mass estimation'!G57)</f>
        <v>1</v>
      </c>
      <c r="O153" s="449">
        <f>'INPUT1 - Veh Geometry'!$H$72</f>
        <v>2597.5</v>
      </c>
      <c r="P153" s="7">
        <v>0</v>
      </c>
      <c r="Q153" s="7">
        <f>'INPUT1 - Veh Geometry'!$J$72</f>
        <v>76</v>
      </c>
      <c r="R153" s="7">
        <f>$Q153-'INPUT1 - Veh Geometry'!$J$73+'INPUT1 - Veh Geometry'!$J$74</f>
        <v>25</v>
      </c>
      <c r="S153" s="7">
        <f>$Q153-'INPUT1 - Veh Geometry'!$J$73+'INPUT1 - Veh Geometry'!$J$75</f>
        <v>107</v>
      </c>
      <c r="T153" s="7">
        <f>L153*K153-U153</f>
        <v>0</v>
      </c>
      <c r="U153" s="48">
        <f>IF(ISNUMBER(K153),L153*K153*(O153-$D$262)/E,)</f>
        <v>24.206</v>
      </c>
      <c r="V153" s="3"/>
      <c r="W153" s="3"/>
      <c r="X153" s="3"/>
      <c r="Y153" s="503">
        <f t="shared" si="99"/>
        <v>24.206</v>
      </c>
      <c r="Z153" s="1" t="s">
        <v>470</v>
      </c>
      <c r="AA153" s="505" t="s">
        <v>643</v>
      </c>
      <c r="AB153" s="504" t="str">
        <f t="shared" si="72"/>
        <v>FREINAGE</v>
      </c>
      <c r="AC153" s="504" t="str">
        <f t="shared" si="94"/>
        <v>FREIN AR</v>
      </c>
      <c r="AD153" s="504" t="str">
        <f t="shared" si="95"/>
        <v>disque</v>
      </c>
      <c r="AE153" s="504" t="str">
        <f t="shared" si="96"/>
        <v>FREINAGE / FREIN AR  / disque</v>
      </c>
      <c r="AF153" s="505"/>
    </row>
    <row r="154" spans="2:38" ht="15" customHeight="1" outlineLevel="2">
      <c r="B154" s="12"/>
      <c r="C154" s="17"/>
      <c r="D154" s="17" t="s">
        <v>644</v>
      </c>
      <c r="E154" s="17"/>
      <c r="F154" s="17"/>
      <c r="G154" s="17" t="s">
        <v>645</v>
      </c>
      <c r="H154" s="17"/>
      <c r="I154" s="30"/>
      <c r="K154" s="42"/>
      <c r="L154" s="106"/>
      <c r="M154" s="205"/>
      <c r="O154" s="449">
        <f>'INPUT1 - Veh Geometry'!$H$72+330/2</f>
        <v>2762.5</v>
      </c>
      <c r="P154" s="7">
        <v>0</v>
      </c>
      <c r="Q154" s="7">
        <f>'INPUT1 - Veh Geometry'!$J$72+20</f>
        <v>96</v>
      </c>
      <c r="R154" s="7">
        <f>$Q154-'INPUT1 - Veh Geometry'!$J$73+'INPUT1 - Veh Geometry'!$J$74</f>
        <v>45</v>
      </c>
      <c r="S154" s="7">
        <f>$Q154-'INPUT1 - Veh Geometry'!$J$73+'INPUT1 - Veh Geometry'!$J$75</f>
        <v>127</v>
      </c>
      <c r="T154" s="7">
        <f t="shared" ref="T154:T155" si="104">L154*K154-U154</f>
        <v>0</v>
      </c>
      <c r="U154" s="48">
        <f>IF(ISNUMBER(K154),L154*K154*(O154-$D$262)/E,)</f>
        <v>0</v>
      </c>
      <c r="V154" s="3"/>
      <c r="W154" s="3"/>
      <c r="X154" s="3"/>
      <c r="Y154" s="503">
        <f t="shared" si="99"/>
        <v>0</v>
      </c>
      <c r="Z154" s="1" t="s">
        <v>470</v>
      </c>
      <c r="AA154" s="505" t="s">
        <v>646</v>
      </c>
      <c r="AB154" s="504" t="str">
        <f t="shared" si="72"/>
        <v>FREINAGE</v>
      </c>
      <c r="AC154" s="504" t="str">
        <f t="shared" si="94"/>
        <v>FREIN AR</v>
      </c>
      <c r="AD154" s="504" t="str">
        <f t="shared" si="95"/>
        <v>etrier</v>
      </c>
      <c r="AE154" s="504" t="str">
        <f t="shared" si="96"/>
        <v>FREINAGE / FREIN AR  / etrier</v>
      </c>
      <c r="AF154" s="505"/>
    </row>
    <row r="155" spans="2:38" ht="15" customHeight="1" outlineLevel="2">
      <c r="B155" s="12"/>
      <c r="C155" s="17"/>
      <c r="D155" s="17" t="s">
        <v>647</v>
      </c>
      <c r="E155" s="17"/>
      <c r="F155" s="17"/>
      <c r="G155" s="17" t="s">
        <v>648</v>
      </c>
      <c r="H155" s="17"/>
      <c r="I155" s="30"/>
      <c r="K155" s="42"/>
      <c r="L155" s="106"/>
      <c r="M155" s="205"/>
      <c r="O155" s="449">
        <f>'INPUT1 - Veh Geometry'!$H$72+330/2</f>
        <v>2762.5</v>
      </c>
      <c r="P155" s="7">
        <v>0</v>
      </c>
      <c r="Q155" s="7">
        <f>'INPUT1 - Veh Geometry'!$J$72</f>
        <v>76</v>
      </c>
      <c r="R155" s="7">
        <f>$Q155-'INPUT1 - Veh Geometry'!$J$73+'INPUT1 - Veh Geometry'!$J$74</f>
        <v>25</v>
      </c>
      <c r="S155" s="7">
        <f>$Q155-'INPUT1 - Veh Geometry'!$J$73+'INPUT1 - Veh Geometry'!$J$75</f>
        <v>107</v>
      </c>
      <c r="T155" s="7">
        <f t="shared" si="104"/>
        <v>0</v>
      </c>
      <c r="U155" s="48">
        <f>IF(ISNUMBER(K155),L155*K155*(O155-$D$262)/E,)</f>
        <v>0</v>
      </c>
      <c r="V155" s="3"/>
      <c r="W155" s="3"/>
      <c r="X155" s="3"/>
      <c r="Y155" s="503">
        <f t="shared" si="99"/>
        <v>0</v>
      </c>
      <c r="Z155" s="1" t="s">
        <v>470</v>
      </c>
      <c r="AA155" s="505" t="s">
        <v>646</v>
      </c>
      <c r="AB155" s="504" t="str">
        <f t="shared" si="72"/>
        <v>FREINAGE</v>
      </c>
      <c r="AC155" s="504" t="str">
        <f t="shared" si="94"/>
        <v>FREIN AR</v>
      </c>
      <c r="AD155" s="504" t="str">
        <f t="shared" si="95"/>
        <v>Protecteur de disque</v>
      </c>
      <c r="AE155" s="504" t="str">
        <f t="shared" si="96"/>
        <v>FREINAGE / FREIN AR  / Protecteur de disque</v>
      </c>
      <c r="AF155" s="505"/>
    </row>
    <row r="156" spans="2:38" ht="15" customHeight="1" outlineLevel="1">
      <c r="B156" s="12"/>
      <c r="C156" s="11" t="s">
        <v>649</v>
      </c>
      <c r="D156" s="11"/>
      <c r="E156" s="11"/>
      <c r="F156" s="11" t="s">
        <v>650</v>
      </c>
      <c r="G156" s="11"/>
      <c r="H156" s="11"/>
      <c r="I156" s="27"/>
      <c r="K156" s="55" t="s">
        <v>153</v>
      </c>
      <c r="L156" s="58">
        <f>SUMPRODUCT(L157:L160,K157:K160)</f>
        <v>29.42</v>
      </c>
      <c r="M156" s="202"/>
      <c r="O156" s="55">
        <f>SUMPRODUCT(O157:O160,L157:L160,K157:K160)/L156</f>
        <v>-118.88681169272601</v>
      </c>
      <c r="P156" s="57" cm="1">
        <f t="array" ref="P156">SUMPRODUCT(L157:L160*K157:K160*P157:P160)</f>
        <v>0</v>
      </c>
      <c r="Q156" s="57">
        <f>SUMPRODUCT(Q157:Q160,$L157:$L160,$K157:$K160)/$L156</f>
        <v>80.888511216859271</v>
      </c>
      <c r="R156" s="57">
        <f>SUMPRODUCT(R157:R160,$L157:$L160,$K157:$K160)/$L156</f>
        <v>58.888511216859278</v>
      </c>
      <c r="S156" s="57">
        <f>SUMPRODUCT(S157:S160,$L157:$L160,$K157:$K160)/$L156</f>
        <v>84.888511216859271</v>
      </c>
      <c r="T156" s="58">
        <f>L156-U156</f>
        <v>30.271250000000002</v>
      </c>
      <c r="U156" s="56">
        <f>L156*(O156-$D$262)/E</f>
        <v>-0.85124999999999973</v>
      </c>
      <c r="V156" s="3"/>
      <c r="W156" s="3"/>
      <c r="X156" s="3"/>
      <c r="Y156" s="503">
        <f t="shared" si="99"/>
        <v>0</v>
      </c>
      <c r="Z156" s="1" t="s">
        <v>470</v>
      </c>
      <c r="AA156" s="504"/>
      <c r="AB156" s="504" t="str">
        <f t="shared" si="72"/>
        <v>FREINAGE</v>
      </c>
      <c r="AC156" s="504" t="str">
        <f t="shared" si="94"/>
        <v>FREIN AV</v>
      </c>
      <c r="AD156" s="504" t="str">
        <f t="shared" si="95"/>
        <v/>
      </c>
      <c r="AE156" s="504" t="str">
        <f t="shared" si="96"/>
        <v xml:space="preserve">FREINAGE / FREIN AV  / </v>
      </c>
      <c r="AF156" s="504"/>
      <c r="AH156" t="s">
        <v>639</v>
      </c>
      <c r="AL156" t="s">
        <v>640</v>
      </c>
    </row>
    <row r="157" spans="2:38" ht="15" customHeight="1" outlineLevel="2">
      <c r="B157" s="12"/>
      <c r="C157" s="17"/>
      <c r="D157" s="17" t="s">
        <v>641</v>
      </c>
      <c r="E157" s="17"/>
      <c r="F157" s="17"/>
      <c r="G157" s="17" t="s">
        <v>642</v>
      </c>
      <c r="H157" s="17"/>
      <c r="I157" s="30"/>
      <c r="K157" s="42">
        <v>1</v>
      </c>
      <c r="L157" s="106">
        <v>15.8</v>
      </c>
      <c r="M157" s="205">
        <f>'UNSPRUNG Mass estimation'!F39</f>
        <v>1</v>
      </c>
      <c r="O157" s="449">
        <f>'INPUT1 - Veh Geometry'!$H$61</f>
        <v>-42.5</v>
      </c>
      <c r="P157" s="7">
        <v>0</v>
      </c>
      <c r="Q157" s="7">
        <f>'INPUT1 - Veh Geometry'!$J$61</f>
        <v>67</v>
      </c>
      <c r="R157" s="7">
        <f>$Q157-'INPUT1 - Veh Geometry'!$J$62+'INPUT1 - Veh Geometry'!$J$63</f>
        <v>45</v>
      </c>
      <c r="S157" s="7">
        <f>$Q157-'INPUT1 - Veh Geometry'!$J$62+'INPUT1 - Veh Geometry'!$J$64</f>
        <v>71</v>
      </c>
      <c r="T157" s="7">
        <f t="shared" ref="T157:T160" si="105">L157*K157-U157</f>
        <v>15.8</v>
      </c>
      <c r="U157" s="48">
        <f>IF(ISNUMBER(K157),L157*K157*(O157-$D$262)/E,)</f>
        <v>0</v>
      </c>
      <c r="V157" s="3"/>
      <c r="W157" s="3"/>
      <c r="X157" s="3"/>
      <c r="Y157" s="503">
        <f t="shared" si="99"/>
        <v>15.8</v>
      </c>
      <c r="Z157" s="1" t="s">
        <v>470</v>
      </c>
      <c r="AA157" s="505" t="s">
        <v>651</v>
      </c>
      <c r="AB157" s="504" t="str">
        <f t="shared" si="72"/>
        <v>FREINAGE</v>
      </c>
      <c r="AC157" s="504" t="str">
        <f t="shared" si="94"/>
        <v>FREIN AV</v>
      </c>
      <c r="AD157" s="504" t="str">
        <f t="shared" si="95"/>
        <v>disque</v>
      </c>
      <c r="AE157" s="504" t="str">
        <f t="shared" si="96"/>
        <v>FREINAGE / FREIN AV  / disque</v>
      </c>
      <c r="AF157" s="505"/>
    </row>
    <row r="158" spans="2:38" ht="15" customHeight="1" outlineLevel="2">
      <c r="B158" s="12"/>
      <c r="C158" s="17"/>
      <c r="D158" s="17" t="s">
        <v>644</v>
      </c>
      <c r="E158" s="17"/>
      <c r="F158" s="17"/>
      <c r="G158" s="17" t="s">
        <v>645</v>
      </c>
      <c r="H158" s="17"/>
      <c r="I158" s="30"/>
      <c r="K158" s="42">
        <v>1</v>
      </c>
      <c r="L158" s="106">
        <v>13.62</v>
      </c>
      <c r="M158" s="205">
        <f>'UNSPRUNG Mass estimation'!F40</f>
        <v>1</v>
      </c>
      <c r="O158" s="449">
        <f>'INPUT1 - Veh Geometry'!$H$61-330/2</f>
        <v>-207.5</v>
      </c>
      <c r="P158" s="7">
        <v>0</v>
      </c>
      <c r="Q158" s="7">
        <f>'INPUT1 - Veh Geometry'!$J$61+30</f>
        <v>97</v>
      </c>
      <c r="R158" s="7">
        <f>$Q158-'INPUT1 - Veh Geometry'!$J$62+'INPUT1 - Veh Geometry'!$J$63</f>
        <v>75</v>
      </c>
      <c r="S158" s="7">
        <f>$Q158-'INPUT1 - Veh Geometry'!$J$62+'INPUT1 - Veh Geometry'!$J$64</f>
        <v>101</v>
      </c>
      <c r="T158" s="7">
        <f t="shared" si="105"/>
        <v>14.47125</v>
      </c>
      <c r="U158" s="48">
        <f>IF(ISNUMBER(K158),L158*K158*(O158-$D$262)/E,)</f>
        <v>-0.85124999999999995</v>
      </c>
      <c r="V158" s="3"/>
      <c r="W158" s="3"/>
      <c r="X158" s="3"/>
      <c r="Y158" s="503">
        <f t="shared" si="99"/>
        <v>13.62</v>
      </c>
      <c r="Z158" s="1" t="s">
        <v>470</v>
      </c>
      <c r="AA158" s="505" t="s">
        <v>652</v>
      </c>
      <c r="AB158" s="504" t="str">
        <f t="shared" si="72"/>
        <v>FREINAGE</v>
      </c>
      <c r="AC158" s="504" t="str">
        <f t="shared" si="94"/>
        <v>FREIN AV</v>
      </c>
      <c r="AD158" s="504" t="str">
        <f t="shared" si="95"/>
        <v>etrier</v>
      </c>
      <c r="AE158" s="504" t="str">
        <f t="shared" si="96"/>
        <v>FREINAGE / FREIN AV  / etrier</v>
      </c>
      <c r="AF158" s="505"/>
    </row>
    <row r="159" spans="2:38" ht="15" customHeight="1" outlineLevel="2">
      <c r="B159" s="12"/>
      <c r="C159" s="17"/>
      <c r="D159" s="17" t="s">
        <v>647</v>
      </c>
      <c r="E159" s="17"/>
      <c r="F159" s="17"/>
      <c r="G159" s="17" t="s">
        <v>648</v>
      </c>
      <c r="H159" s="17"/>
      <c r="I159" s="30"/>
      <c r="K159" s="42"/>
      <c r="L159" s="106"/>
      <c r="M159" s="205"/>
      <c r="O159" s="449">
        <f>'INPUT1 - Veh Geometry'!$H$61</f>
        <v>-42.5</v>
      </c>
      <c r="P159" s="7">
        <v>0</v>
      </c>
      <c r="Q159" s="7">
        <f>'INPUT1 - Veh Geometry'!$J$61</f>
        <v>67</v>
      </c>
      <c r="R159" s="7">
        <f>$Q159-'INPUT1 - Veh Geometry'!$J$62+'INPUT1 - Veh Geometry'!$J$63</f>
        <v>45</v>
      </c>
      <c r="S159" s="7">
        <f>$Q159-'INPUT1 - Veh Geometry'!$J$62+'INPUT1 - Veh Geometry'!$J$64</f>
        <v>71</v>
      </c>
      <c r="T159" s="7">
        <f t="shared" si="105"/>
        <v>0</v>
      </c>
      <c r="U159" s="48">
        <f>IF(ISNUMBER(K159),L159*K159*(O159-$D$262)/E,)</f>
        <v>0</v>
      </c>
      <c r="V159" s="3"/>
      <c r="W159" s="3"/>
      <c r="X159" s="3"/>
      <c r="Y159" s="503">
        <f t="shared" si="99"/>
        <v>0</v>
      </c>
      <c r="Z159" s="1" t="s">
        <v>470</v>
      </c>
      <c r="AA159" s="505" t="s">
        <v>652</v>
      </c>
      <c r="AB159" s="504" t="str">
        <f t="shared" si="72"/>
        <v>FREINAGE</v>
      </c>
      <c r="AC159" s="504" t="str">
        <f t="shared" si="94"/>
        <v>FREIN AV</v>
      </c>
      <c r="AD159" s="504" t="str">
        <f t="shared" si="95"/>
        <v>Protecteur de disque</v>
      </c>
      <c r="AE159" s="504" t="str">
        <f t="shared" si="96"/>
        <v>FREINAGE / FREIN AV  / Protecteur de disque</v>
      </c>
      <c r="AF159" s="505"/>
    </row>
    <row r="160" spans="2:38" ht="15" customHeight="1" outlineLevel="1">
      <c r="B160" s="47"/>
      <c r="C160" s="35" t="s">
        <v>653</v>
      </c>
      <c r="D160" s="35"/>
      <c r="E160" s="35"/>
      <c r="F160" s="35" t="s">
        <v>654</v>
      </c>
      <c r="G160" s="35"/>
      <c r="H160" s="35"/>
      <c r="I160" s="102"/>
      <c r="K160" s="42"/>
      <c r="L160" s="106"/>
      <c r="M160" s="202"/>
      <c r="O160" s="446">
        <f>'INPUT1 - Veh Geometry'!$H$87</f>
        <v>-241.5</v>
      </c>
      <c r="P160" s="10">
        <f>'INPUT1 - Veh Geometry'!$I$87</f>
        <v>-48</v>
      </c>
      <c r="Q160" s="10">
        <f>'INPUT1 - Veh Geometry'!$J$87</f>
        <v>144.4</v>
      </c>
      <c r="R160" s="10">
        <f>$Q160</f>
        <v>144.4</v>
      </c>
      <c r="S160" s="10">
        <f>$Q160</f>
        <v>144.4</v>
      </c>
      <c r="T160" s="7">
        <f t="shared" si="105"/>
        <v>0</v>
      </c>
      <c r="U160" s="48">
        <f>IF(ISNUMBER(K160),L160*K160*(O160-$D$262)/E,)</f>
        <v>0</v>
      </c>
      <c r="V160" s="3"/>
      <c r="W160" s="3"/>
      <c r="X160" s="3"/>
      <c r="Y160" s="503">
        <f t="shared" si="99"/>
        <v>0</v>
      </c>
      <c r="Z160" s="1" t="s">
        <v>470</v>
      </c>
      <c r="AA160" s="504"/>
      <c r="AB160" s="504" t="str">
        <f t="shared" si="72"/>
        <v>FREINAGE</v>
      </c>
      <c r="AC160" s="504" t="str">
        <f t="shared" si="94"/>
        <v>Pompe à vide électrique</v>
      </c>
      <c r="AD160" s="504" t="str">
        <f t="shared" si="95"/>
        <v/>
      </c>
      <c r="AE160" s="504" t="str">
        <f t="shared" si="96"/>
        <v xml:space="preserve">FREINAGE / Pompe à vide électrique  / </v>
      </c>
      <c r="AF160" s="504"/>
      <c r="AH160" t="s">
        <v>655</v>
      </c>
      <c r="AL160" t="s">
        <v>656</v>
      </c>
    </row>
    <row r="161" spans="2:38" ht="15" customHeight="1">
      <c r="B161" s="9" t="s">
        <v>657</v>
      </c>
      <c r="C161" s="8"/>
      <c r="D161" s="8"/>
      <c r="E161" s="8"/>
      <c r="F161" s="8" t="s">
        <v>658</v>
      </c>
      <c r="G161" s="8"/>
      <c r="H161" s="8"/>
      <c r="I161" s="29"/>
      <c r="K161" s="33"/>
      <c r="L161" s="22">
        <f>SUMPRODUCT(K162:K164,L162:L164)</f>
        <v>19.152999999999999</v>
      </c>
      <c r="M161" s="203"/>
      <c r="O161" s="33">
        <f>SUMPRODUCT($L162:$L164,O162:O164,$K162:$K164)/$L161</f>
        <v>2003.8139194904195</v>
      </c>
      <c r="P161" s="23">
        <f t="shared" ref="P161:S161" si="106">SUMPRODUCT($L162:$L164,P162:P164,$K162:$K164)/$L161</f>
        <v>0</v>
      </c>
      <c r="Q161" s="23">
        <f t="shared" si="106"/>
        <v>400.98632590194751</v>
      </c>
      <c r="R161" s="23">
        <f t="shared" si="106"/>
        <v>400.98632590194751</v>
      </c>
      <c r="S161" s="23">
        <f t="shared" si="106"/>
        <v>400.98632590194751</v>
      </c>
      <c r="T161" s="22">
        <f>SUM(T162:T164)</f>
        <v>4.3071475378787865</v>
      </c>
      <c r="U161" s="32">
        <f>SUMIF($K162:$K164,"&gt;0",$U162:$U164)</f>
        <v>14.845852462121213</v>
      </c>
      <c r="V161" s="3"/>
      <c r="W161" s="3"/>
      <c r="X161" s="3"/>
      <c r="Y161" s="503">
        <f t="shared" si="99"/>
        <v>0</v>
      </c>
      <c r="Z161" s="1" t="s">
        <v>441</v>
      </c>
      <c r="AA161" s="504"/>
      <c r="AB161" s="504" t="str">
        <f t="shared" si="72"/>
        <v>GARNISSAGE</v>
      </c>
      <c r="AC161" s="504" t="str">
        <f t="shared" si="94"/>
        <v>Pompe à vide électrique</v>
      </c>
      <c r="AD161" s="504" t="str">
        <f t="shared" si="95"/>
        <v/>
      </c>
      <c r="AE161" s="504" t="str">
        <f t="shared" si="96"/>
        <v xml:space="preserve">GARNISSAGE / Pompe à vide électrique  / </v>
      </c>
      <c r="AF161" s="504"/>
    </row>
    <row r="162" spans="2:38" ht="15" customHeight="1" outlineLevel="1">
      <c r="B162" s="47"/>
      <c r="C162" s="35" t="s">
        <v>659</v>
      </c>
      <c r="D162" s="35"/>
      <c r="E162" s="35"/>
      <c r="F162" s="35"/>
      <c r="G162" s="35"/>
      <c r="H162" s="35"/>
      <c r="I162" s="102"/>
      <c r="K162" s="42">
        <v>1</v>
      </c>
      <c r="L162" s="106">
        <v>1.359</v>
      </c>
      <c r="M162" s="202"/>
      <c r="O162" s="448">
        <f>('INPUT1 - Veh Geometry'!H42+'INPUT1 - Veh Geometry'!H49)/2</f>
        <v>1732</v>
      </c>
      <c r="P162" s="13">
        <v>0</v>
      </c>
      <c r="Q162" s="13">
        <f>'INPUT1 - Veh Geometry'!$J$34-'INPUT1 - Veh Geometry'!$H$81/2+'INPUT1 - Veh Geometry'!$J$61-150</f>
        <v>1210.0999999999999</v>
      </c>
      <c r="R162" s="10">
        <f>$Q162</f>
        <v>1210.0999999999999</v>
      </c>
      <c r="S162" s="10">
        <f t="shared" ref="S162:S164" si="107">$Q162</f>
        <v>1210.0999999999999</v>
      </c>
      <c r="T162" s="7">
        <f t="shared" ref="T162:T163" si="108">L162*K162-U162</f>
        <v>0.44553579545454536</v>
      </c>
      <c r="U162" s="48">
        <f>IF(ISNUMBER(K162),L162*K162*(O162-$D$262)/E,)</f>
        <v>0.91346420454545463</v>
      </c>
      <c r="V162" s="3"/>
      <c r="W162" s="3"/>
      <c r="X162" s="3"/>
      <c r="Y162" s="503">
        <f t="shared" si="99"/>
        <v>1.359</v>
      </c>
      <c r="Z162" s="1" t="s">
        <v>441</v>
      </c>
      <c r="AA162" s="504"/>
      <c r="AB162" s="504" t="str">
        <f t="shared" si="72"/>
        <v>GARNISSAGE</v>
      </c>
      <c r="AC162" s="504" t="str">
        <f t="shared" si="94"/>
        <v>EQUIPEMENT GARNISSAGE PAVILLON</v>
      </c>
      <c r="AD162" s="504" t="str">
        <f t="shared" si="95"/>
        <v/>
      </c>
      <c r="AE162" s="504" t="str">
        <f t="shared" si="96"/>
        <v xml:space="preserve">GARNISSAGE / EQUIPEMENT GARNISSAGE PAVILLON  / </v>
      </c>
      <c r="AF162" s="504"/>
      <c r="AH162" t="s">
        <v>660</v>
      </c>
      <c r="AL162" t="s">
        <v>661</v>
      </c>
    </row>
    <row r="163" spans="2:38" ht="15" customHeight="1" outlineLevel="1">
      <c r="B163" s="47"/>
      <c r="C163" s="35" t="s">
        <v>662</v>
      </c>
      <c r="D163" s="35"/>
      <c r="E163" s="35"/>
      <c r="F163" s="35"/>
      <c r="G163" s="35"/>
      <c r="H163" s="35"/>
      <c r="I163" s="102"/>
      <c r="K163" s="42">
        <v>1</v>
      </c>
      <c r="L163" s="106">
        <v>15.342000000000001</v>
      </c>
      <c r="M163" s="202"/>
      <c r="O163" s="446">
        <f>('INPUT1 - Veh Geometry'!H42+'INPUT1 - Veh Geometry'!H49+'INPUT1 - Veh Geometry'!H57)/3</f>
        <v>2071.3333333333335</v>
      </c>
      <c r="P163" s="13">
        <v>0</v>
      </c>
      <c r="Q163" s="13">
        <f>'INPUT1 - Veh Geometry'!J119</f>
        <v>200</v>
      </c>
      <c r="R163" s="10">
        <f t="shared" ref="R163:R164" si="109">$Q163</f>
        <v>200</v>
      </c>
      <c r="S163" s="10">
        <f t="shared" si="107"/>
        <v>200</v>
      </c>
      <c r="T163" s="7">
        <f t="shared" si="108"/>
        <v>3.0577458333333318</v>
      </c>
      <c r="U163" s="48">
        <f>IF(ISNUMBER(K163),L163*K163*(O163-$D$262)/E,)</f>
        <v>12.284254166666669</v>
      </c>
      <c r="V163" s="3"/>
      <c r="W163" s="3"/>
      <c r="X163" s="3"/>
      <c r="Y163" s="503">
        <f t="shared" si="99"/>
        <v>15.342000000000001</v>
      </c>
      <c r="Z163" s="1" t="s">
        <v>441</v>
      </c>
      <c r="AA163" s="504"/>
      <c r="AB163" s="504" t="str">
        <f t="shared" si="72"/>
        <v>GARNISSAGE</v>
      </c>
      <c r="AC163" s="504" t="str">
        <f t="shared" si="94"/>
        <v>GARNISSAGE CAISSE/CARROSSERIE</v>
      </c>
      <c r="AD163" s="504" t="str">
        <f t="shared" si="95"/>
        <v/>
      </c>
      <c r="AE163" s="504" t="str">
        <f t="shared" si="96"/>
        <v xml:space="preserve">GARNISSAGE / GARNISSAGE CAISSE/CARROSSERIE  / </v>
      </c>
      <c r="AF163" s="504"/>
      <c r="AH163" t="s">
        <v>660</v>
      </c>
      <c r="AL163" t="s">
        <v>661</v>
      </c>
    </row>
    <row r="164" spans="2:38" ht="15" customHeight="1" outlineLevel="1">
      <c r="B164" s="47"/>
      <c r="C164" s="35" t="s">
        <v>663</v>
      </c>
      <c r="D164" s="35"/>
      <c r="E164" s="35"/>
      <c r="F164" s="35"/>
      <c r="G164" s="35"/>
      <c r="H164" s="35"/>
      <c r="I164" s="102"/>
      <c r="K164" s="42">
        <v>1</v>
      </c>
      <c r="L164" s="106">
        <v>2.4519999999999995</v>
      </c>
      <c r="M164" s="202"/>
      <c r="O164" s="448">
        <f>('INPUT1 - Veh Geometry'!H42+'INPUT1 - Veh Geometry'!H49)/2</f>
        <v>1732</v>
      </c>
      <c r="P164" s="13">
        <v>0</v>
      </c>
      <c r="Q164" s="13">
        <f>'INPUT1 - Veh Geometry'!$J$34-'INPUT1 - Veh Geometry'!$H$81/2+'INPUT1 - Veh Geometry'!$J$61-150</f>
        <v>1210.0999999999999</v>
      </c>
      <c r="R164" s="10">
        <f t="shared" si="109"/>
        <v>1210.0999999999999</v>
      </c>
      <c r="S164" s="10">
        <f t="shared" si="107"/>
        <v>1210.0999999999999</v>
      </c>
      <c r="T164" s="7">
        <f>L164*K164-U164</f>
        <v>0.80386590909090905</v>
      </c>
      <c r="U164" s="48">
        <f>IF(ISNUMBER(K164),L164*K164*(O164-$D$262)/E,)</f>
        <v>1.6481340909090905</v>
      </c>
      <c r="V164" s="3"/>
      <c r="W164" s="3"/>
      <c r="X164" s="3"/>
      <c r="Y164" s="503">
        <f>IF(ISNUMBER(K164),L164*K164,0)</f>
        <v>2.4519999999999995</v>
      </c>
      <c r="Z164" s="1" t="s">
        <v>441</v>
      </c>
      <c r="AA164" s="504"/>
      <c r="AB164" s="504" t="str">
        <f t="shared" si="72"/>
        <v>GARNISSAGE</v>
      </c>
      <c r="AC164" s="504" t="str">
        <f t="shared" si="94"/>
        <v>GARNISSAGE PAVILLON</v>
      </c>
      <c r="AD164" s="504" t="str">
        <f t="shared" si="95"/>
        <v/>
      </c>
      <c r="AE164" s="504" t="str">
        <f t="shared" si="96"/>
        <v xml:space="preserve">GARNISSAGE / GARNISSAGE PAVILLON  / </v>
      </c>
      <c r="AF164" s="504"/>
      <c r="AH164" t="s">
        <v>542</v>
      </c>
      <c r="AL164" t="s">
        <v>543</v>
      </c>
    </row>
    <row r="165" spans="2:38" ht="15" customHeight="1">
      <c r="B165" s="9" t="s">
        <v>664</v>
      </c>
      <c r="C165" s="8"/>
      <c r="D165" s="8"/>
      <c r="E165" s="8"/>
      <c r="F165" s="8" t="s">
        <v>665</v>
      </c>
      <c r="G165" s="8"/>
      <c r="H165" s="8"/>
      <c r="I165" s="29"/>
      <c r="K165" s="33"/>
      <c r="L165" s="22">
        <f>SUMPRODUCT(L166:L171,K166:K171)</f>
        <v>106.6</v>
      </c>
      <c r="M165" s="203"/>
      <c r="O165" s="33">
        <f>SUMPRODUCT($L166:$L171,O166:O171,$K166:$K171)/$L165</f>
        <v>-241.5</v>
      </c>
      <c r="P165" s="23">
        <f>SUMPRODUCT($L166:$L171,P166:P171,$K166:$K171)/$L165</f>
        <v>-47.999999999999993</v>
      </c>
      <c r="Q165" s="23">
        <f>SUMPRODUCT($L166:$L171,Q166:Q171,$K166:$K171)/$L165</f>
        <v>144.4</v>
      </c>
      <c r="R165" s="23">
        <f>SUMPRODUCT($L166:$L171,R166:R171,$K166:$K171)/$L165</f>
        <v>144.4</v>
      </c>
      <c r="S165" s="23">
        <f>SUMPRODUCT($L166:$L171,S166:S171,$K166:$K171)/$L165</f>
        <v>144.4</v>
      </c>
      <c r="T165" s="22">
        <f>SUMIF($K166:$K171,"&gt;0",$T166:$T171)</f>
        <v>114.63537878787878</v>
      </c>
      <c r="U165" s="32">
        <f>SUMIF($K166:$K171,"&gt;0",$U166:$U171)</f>
        <v>-8.0353787878787877</v>
      </c>
      <c r="V165" s="3"/>
      <c r="W165" s="3"/>
      <c r="X165" s="3"/>
      <c r="Y165" s="503">
        <f t="shared" si="99"/>
        <v>0</v>
      </c>
      <c r="Z165" s="1" t="s">
        <v>368</v>
      </c>
      <c r="AA165" s="504"/>
      <c r="AB165" s="504" t="str">
        <f t="shared" si="72"/>
        <v>GMP</v>
      </c>
      <c r="AC165" s="504" t="str">
        <f t="shared" si="94"/>
        <v>GARNISSAGE PAVILLON</v>
      </c>
      <c r="AD165" s="504" t="str">
        <f t="shared" si="95"/>
        <v/>
      </c>
      <c r="AE165" s="504" t="str">
        <f t="shared" si="96"/>
        <v xml:space="preserve">GMP / GARNISSAGE PAVILLON  / </v>
      </c>
      <c r="AF165" s="504"/>
    </row>
    <row r="166" spans="2:38" ht="15" customHeight="1" outlineLevel="1">
      <c r="B166" s="47"/>
      <c r="C166" s="35" t="s">
        <v>666</v>
      </c>
      <c r="D166" s="35"/>
      <c r="E166" s="35"/>
      <c r="F166" s="35" t="s">
        <v>177</v>
      </c>
      <c r="G166" s="35"/>
      <c r="H166" s="35"/>
      <c r="I166" s="102"/>
      <c r="K166" s="42"/>
      <c r="L166" s="106"/>
      <c r="M166" s="202"/>
      <c r="O166" s="446">
        <f>'INPUT1 - Veh Geometry'!$H$87</f>
        <v>-241.5</v>
      </c>
      <c r="P166" s="10">
        <f>'INPUT1 - Veh Geometry'!$I$87</f>
        <v>-48</v>
      </c>
      <c r="Q166" s="10">
        <f>'INPUT1 - Veh Geometry'!$J$87</f>
        <v>144.4</v>
      </c>
      <c r="R166" s="10">
        <f t="shared" ref="R166:S166" si="110">$Q166</f>
        <v>144.4</v>
      </c>
      <c r="S166" s="10">
        <f t="shared" si="110"/>
        <v>144.4</v>
      </c>
      <c r="T166" s="7">
        <f>L166*K166-U166</f>
        <v>0</v>
      </c>
      <c r="U166" s="48">
        <f>IF(ISNUMBER(K166),L166*K166*(O166-$D$262)/E,)</f>
        <v>0</v>
      </c>
      <c r="V166" s="3"/>
      <c r="W166" s="3"/>
      <c r="X166" s="3"/>
      <c r="Y166" s="503">
        <f t="shared" si="99"/>
        <v>0</v>
      </c>
      <c r="Z166" s="1" t="s">
        <v>368</v>
      </c>
      <c r="AA166" s="504"/>
      <c r="AB166" s="504" t="str">
        <f t="shared" si="72"/>
        <v>GMP</v>
      </c>
      <c r="AC166" s="504" t="str">
        <f t="shared" si="94"/>
        <v>BLOC MOTEUR</v>
      </c>
      <c r="AD166" s="504" t="str">
        <f t="shared" si="95"/>
        <v/>
      </c>
      <c r="AE166" s="504" t="str">
        <f t="shared" si="96"/>
        <v xml:space="preserve">GMP / BLOC MOTEUR  / </v>
      </c>
      <c r="AF166" s="504"/>
      <c r="AH166" t="s">
        <v>667</v>
      </c>
      <c r="AL166" t="s">
        <v>668</v>
      </c>
    </row>
    <row r="167" spans="2:38" ht="15" customHeight="1" outlineLevel="1">
      <c r="B167" s="12"/>
      <c r="C167" s="11" t="s">
        <v>669</v>
      </c>
      <c r="D167" s="11"/>
      <c r="E167" s="11"/>
      <c r="F167" s="11" t="s">
        <v>670</v>
      </c>
      <c r="G167" s="11"/>
      <c r="H167" s="11"/>
      <c r="I167" s="27"/>
      <c r="K167" s="42"/>
      <c r="L167" s="106"/>
      <c r="M167" s="202"/>
      <c r="O167" s="450"/>
      <c r="P167" s="18"/>
      <c r="Q167" s="18"/>
      <c r="R167" s="18">
        <f t="shared" ref="R167:S167" si="111">Q167</f>
        <v>0</v>
      </c>
      <c r="S167" s="18">
        <f t="shared" si="111"/>
        <v>0</v>
      </c>
      <c r="T167" s="19"/>
      <c r="U167" s="52"/>
      <c r="V167" s="3"/>
      <c r="W167" s="3"/>
      <c r="X167" s="3"/>
      <c r="Y167" s="503">
        <f t="shared" si="99"/>
        <v>0</v>
      </c>
      <c r="Z167" s="1" t="s">
        <v>368</v>
      </c>
      <c r="AA167" s="504"/>
      <c r="AB167" s="504" t="str">
        <f t="shared" si="72"/>
        <v>GMP</v>
      </c>
      <c r="AC167" s="504" t="str">
        <f t="shared" si="94"/>
        <v>Système hybride/électrique</v>
      </c>
      <c r="AD167" s="504" t="str">
        <f t="shared" si="95"/>
        <v/>
      </c>
      <c r="AE167" s="504" t="str">
        <f t="shared" si="96"/>
        <v xml:space="preserve">GMP / Système hybride/électrique  / </v>
      </c>
      <c r="AF167" s="504"/>
    </row>
    <row r="168" spans="2:38" ht="15" customHeight="1" outlineLevel="2">
      <c r="B168" s="15"/>
      <c r="C168" s="14"/>
      <c r="D168" s="14" t="s">
        <v>671</v>
      </c>
      <c r="E168" s="14"/>
      <c r="F168" s="14" t="s">
        <v>672</v>
      </c>
      <c r="G168" s="14"/>
      <c r="H168" s="14"/>
      <c r="I168" s="28"/>
      <c r="K168" s="55" t="s">
        <v>153</v>
      </c>
      <c r="L168" s="58">
        <f>SUMPRODUCT(L169:L170,K169:K170)</f>
        <v>106.6</v>
      </c>
      <c r="M168" s="202"/>
      <c r="O168" s="55">
        <f>SUMPRODUCT(O169:O171,$L169:$L171,$K169:$K171)/$L168</f>
        <v>-241.5</v>
      </c>
      <c r="P168" s="57">
        <f t="shared" ref="P168:S168" si="112">SUMPRODUCT(P169:P171,$L169:$L171,$K169:$K171)/$L168</f>
        <v>-47.999999999999993</v>
      </c>
      <c r="Q168" s="57">
        <f t="shared" si="112"/>
        <v>144.4</v>
      </c>
      <c r="R168" s="57">
        <f t="shared" si="112"/>
        <v>144.4</v>
      </c>
      <c r="S168" s="57">
        <f t="shared" si="112"/>
        <v>144.4</v>
      </c>
      <c r="T168" s="58">
        <f>SUM(T169:T171)</f>
        <v>114.63537878787878</v>
      </c>
      <c r="U168" s="56">
        <f>SUMIF($K169:$K171,"&gt;0",$U169:$U171)</f>
        <v>-8.0353787878787877</v>
      </c>
      <c r="V168" s="3"/>
      <c r="W168" s="3"/>
      <c r="X168" s="3"/>
      <c r="Y168" s="503">
        <f t="shared" si="99"/>
        <v>0</v>
      </c>
      <c r="Z168" s="1" t="s">
        <v>368</v>
      </c>
      <c r="AA168" s="504"/>
      <c r="AB168" s="504" t="str">
        <f t="shared" ref="AB168:AB231" si="113">IF(B168&lt;&gt;0,B168,AB167)</f>
        <v>GMP</v>
      </c>
      <c r="AC168" s="504" t="str">
        <f t="shared" si="94"/>
        <v>Système hybride/électrique</v>
      </c>
      <c r="AD168" s="504" t="str">
        <f t="shared" si="95"/>
        <v>Système moteur electrique</v>
      </c>
      <c r="AE168" s="504" t="str">
        <f t="shared" si="96"/>
        <v>GMP / Système hybride/électrique  / Système moteur electrique</v>
      </c>
      <c r="AF168" s="504"/>
      <c r="AH168" t="s">
        <v>639</v>
      </c>
      <c r="AL168" t="s">
        <v>640</v>
      </c>
    </row>
    <row r="169" spans="2:38" ht="15" customHeight="1" outlineLevel="3">
      <c r="B169" s="15"/>
      <c r="C169" s="14"/>
      <c r="D169" s="17" t="s">
        <v>673</v>
      </c>
      <c r="E169" s="17"/>
      <c r="F169" s="17" t="s">
        <v>674</v>
      </c>
      <c r="G169" s="17"/>
      <c r="H169" s="17"/>
      <c r="I169" s="30"/>
      <c r="K169" s="42">
        <v>1</v>
      </c>
      <c r="L169" s="106">
        <v>106.6</v>
      </c>
      <c r="M169" s="202"/>
      <c r="O169" s="446">
        <f>'INPUT1 - Veh Geometry'!$H$87</f>
        <v>-241.5</v>
      </c>
      <c r="P169" s="10">
        <f>'INPUT1 - Veh Geometry'!$I$87</f>
        <v>-48</v>
      </c>
      <c r="Q169" s="10">
        <f>'INPUT1 - Veh Geometry'!$J$87</f>
        <v>144.4</v>
      </c>
      <c r="R169" s="10">
        <f t="shared" ref="R169:S171" si="114">$Q169</f>
        <v>144.4</v>
      </c>
      <c r="S169" s="10">
        <f t="shared" si="114"/>
        <v>144.4</v>
      </c>
      <c r="T169" s="7">
        <f t="shared" ref="T169:T229" si="115">L169*K169-U169</f>
        <v>114.63537878787878</v>
      </c>
      <c r="U169" s="48">
        <f>IF(ISNUMBER(K169),L169*K169*(O169-$D$262)/E,)</f>
        <v>-8.0353787878787877</v>
      </c>
      <c r="V169" s="3"/>
      <c r="W169" s="3"/>
      <c r="X169" s="3"/>
      <c r="Y169" s="503">
        <f t="shared" si="99"/>
        <v>106.6</v>
      </c>
      <c r="Z169" s="1" t="s">
        <v>368</v>
      </c>
      <c r="AA169" s="504"/>
      <c r="AB169" s="504" t="str">
        <f t="shared" si="113"/>
        <v>GMP</v>
      </c>
      <c r="AC169" s="504" t="str">
        <f t="shared" si="94"/>
        <v>Système hybride/électrique</v>
      </c>
      <c r="AD169" s="504" t="str">
        <f t="shared" si="95"/>
        <v>Moteur AV</v>
      </c>
      <c r="AE169" s="504" t="str">
        <f t="shared" si="96"/>
        <v>GMP / Système hybride/électrique  / Moteur AV</v>
      </c>
      <c r="AF169" s="504"/>
      <c r="AH169" t="s">
        <v>675</v>
      </c>
      <c r="AL169" t="s">
        <v>676</v>
      </c>
    </row>
    <row r="170" spans="2:38" ht="15" customHeight="1" outlineLevel="3">
      <c r="B170" s="15"/>
      <c r="C170" s="14"/>
      <c r="D170" s="17" t="s">
        <v>677</v>
      </c>
      <c r="E170" s="17"/>
      <c r="F170" s="17" t="s">
        <v>678</v>
      </c>
      <c r="G170" s="17"/>
      <c r="H170" s="17"/>
      <c r="I170" s="30"/>
      <c r="K170" s="42"/>
      <c r="L170" s="106"/>
      <c r="M170" s="202"/>
      <c r="O170" s="446">
        <f>'INPUT1 - Veh Geometry'!$H$90</f>
        <v>0</v>
      </c>
      <c r="P170" s="10">
        <f>'INPUT1 - Veh Geometry'!$I$90</f>
        <v>0</v>
      </c>
      <c r="Q170" s="10">
        <f>'INPUT1 - Veh Geometry'!$J$90</f>
        <v>0</v>
      </c>
      <c r="R170" s="10">
        <f t="shared" si="114"/>
        <v>0</v>
      </c>
      <c r="S170" s="10">
        <f t="shared" si="114"/>
        <v>0</v>
      </c>
      <c r="T170" s="7">
        <f t="shared" si="115"/>
        <v>0</v>
      </c>
      <c r="U170" s="48">
        <f>IF(ISNUMBER(K170),L170*K170*(O170-$D$262)/E,)</f>
        <v>0</v>
      </c>
      <c r="V170" s="3"/>
      <c r="W170" s="3"/>
      <c r="X170" s="3"/>
      <c r="Y170" s="503">
        <f t="shared" si="99"/>
        <v>0</v>
      </c>
      <c r="Z170" s="1" t="s">
        <v>368</v>
      </c>
      <c r="AA170" s="504"/>
      <c r="AB170" s="504" t="str">
        <f t="shared" si="113"/>
        <v>GMP</v>
      </c>
      <c r="AC170" s="504" t="str">
        <f t="shared" si="94"/>
        <v>Système hybride/électrique</v>
      </c>
      <c r="AD170" s="504" t="str">
        <f t="shared" si="95"/>
        <v>Moteur AR</v>
      </c>
      <c r="AE170" s="504" t="str">
        <f t="shared" si="96"/>
        <v>GMP / Système hybride/électrique  / Moteur AR</v>
      </c>
      <c r="AF170" s="504"/>
      <c r="AH170" t="s">
        <v>679</v>
      </c>
      <c r="AL170" t="s">
        <v>680</v>
      </c>
    </row>
    <row r="171" spans="2:38" ht="15" customHeight="1" outlineLevel="2">
      <c r="B171" s="15"/>
      <c r="C171" s="14"/>
      <c r="D171" s="14" t="s">
        <v>681</v>
      </c>
      <c r="E171" s="14"/>
      <c r="F171" s="14" t="s">
        <v>682</v>
      </c>
      <c r="G171" s="14"/>
      <c r="H171" s="14"/>
      <c r="I171" s="28"/>
      <c r="K171" s="42"/>
      <c r="L171" s="106"/>
      <c r="M171" s="202"/>
      <c r="O171" s="446">
        <f>'INPUT1 - Veh Geometry'!$H$33/2+'INPUT1 - Veh Geometry'!$H$61</f>
        <v>1277.5</v>
      </c>
      <c r="P171" s="10">
        <f>'INPUT1 - Veh Geometry'!I109</f>
        <v>-280</v>
      </c>
      <c r="Q171" s="10">
        <f>'INPUT1 - Veh Geometry'!$J$72+'INPUT1 - Veh Geometry'!$H$81/2</f>
        <v>432.9</v>
      </c>
      <c r="R171" s="10">
        <f t="shared" si="114"/>
        <v>432.9</v>
      </c>
      <c r="S171" s="10">
        <f t="shared" si="114"/>
        <v>432.9</v>
      </c>
      <c r="T171" s="7">
        <f t="shared" si="115"/>
        <v>0</v>
      </c>
      <c r="U171" s="48">
        <f>IF(ISNUMBER(K171),L171*K171*(O171-$D$262)/E,)</f>
        <v>0</v>
      </c>
      <c r="V171" s="3"/>
      <c r="W171" s="3"/>
      <c r="X171" s="3"/>
      <c r="Y171" s="503">
        <f t="shared" si="99"/>
        <v>0</v>
      </c>
      <c r="Z171" s="1" t="s">
        <v>441</v>
      </c>
      <c r="AA171" s="504"/>
      <c r="AB171" s="504" t="str">
        <f t="shared" si="113"/>
        <v>GMP</v>
      </c>
      <c r="AC171" s="504" t="str">
        <f t="shared" si="94"/>
        <v>Système hybride/électrique</v>
      </c>
      <c r="AD171" s="504" t="str">
        <f t="shared" si="95"/>
        <v>Système support de Câblage HV</v>
      </c>
      <c r="AE171" s="504" t="str">
        <f t="shared" si="96"/>
        <v>GMP / Système hybride/électrique  / Système support de Câblage HV</v>
      </c>
      <c r="AF171" s="504"/>
    </row>
    <row r="172" spans="2:38" ht="15" customHeight="1">
      <c r="B172" s="9" t="s">
        <v>683</v>
      </c>
      <c r="C172" s="8"/>
      <c r="D172" s="8"/>
      <c r="E172" s="8"/>
      <c r="F172" s="8" t="s">
        <v>684</v>
      </c>
      <c r="G172" s="8"/>
      <c r="H172" s="8"/>
      <c r="I172" s="29"/>
      <c r="K172" s="33"/>
      <c r="L172" s="22">
        <f>SUM(L173:L180)</f>
        <v>32.6</v>
      </c>
      <c r="M172" s="203"/>
      <c r="O172" s="33">
        <f>SUMPRODUCT($K173:$K180,$L173:$L180,O173:O180)/$L172</f>
        <v>2992</v>
      </c>
      <c r="P172" s="23">
        <f t="shared" ref="P172:S172" si="116">SUMPRODUCT($K173:$K180,$L173:$L180,P173:P180)/$L172</f>
        <v>-7.3619631901840496E-2</v>
      </c>
      <c r="Q172" s="23">
        <f t="shared" si="116"/>
        <v>855</v>
      </c>
      <c r="R172" s="23">
        <f t="shared" si="116"/>
        <v>855</v>
      </c>
      <c r="S172" s="23">
        <f t="shared" si="116"/>
        <v>855</v>
      </c>
      <c r="T172" s="22">
        <f>SUM(T173:T180)</f>
        <v>-4.871477272727275</v>
      </c>
      <c r="U172" s="32">
        <f>SUMIF($K173:$K180,"&gt;0",$U173:$U180)</f>
        <v>37.471477272727277</v>
      </c>
      <c r="V172" s="3"/>
      <c r="W172" s="3"/>
      <c r="X172" s="3"/>
      <c r="Y172" s="503">
        <f t="shared" si="99"/>
        <v>0</v>
      </c>
      <c r="Z172" s="1" t="s">
        <v>334</v>
      </c>
      <c r="AA172" s="504"/>
      <c r="AB172" s="504" t="str">
        <f t="shared" si="113"/>
        <v>HAYON / COFFRE</v>
      </c>
      <c r="AC172" s="504" t="str">
        <f t="shared" si="94"/>
        <v>Système hybride/électrique</v>
      </c>
      <c r="AD172" s="504" t="str">
        <f t="shared" si="95"/>
        <v/>
      </c>
      <c r="AE172" s="504" t="str">
        <f t="shared" si="96"/>
        <v xml:space="preserve">HAYON / COFFRE / Système hybride/électrique  / </v>
      </c>
      <c r="AF172" s="504"/>
    </row>
    <row r="173" spans="2:38" ht="15" customHeight="1" outlineLevel="1">
      <c r="B173" s="47"/>
      <c r="C173" s="35" t="s">
        <v>685</v>
      </c>
      <c r="D173" s="35"/>
      <c r="E173" s="35"/>
      <c r="F173" s="35"/>
      <c r="G173" s="35"/>
      <c r="H173" s="35"/>
      <c r="I173" s="102"/>
      <c r="K173" s="42">
        <v>1</v>
      </c>
      <c r="L173" s="106">
        <v>6.3</v>
      </c>
      <c r="M173" s="202"/>
      <c r="O173" s="446">
        <f>'INPUT1 - Veh Geometry'!$H$128</f>
        <v>2992</v>
      </c>
      <c r="P173" s="10">
        <f>'INPUT1 - Veh Geometry'!I128</f>
        <v>2</v>
      </c>
      <c r="Q173" s="10">
        <f>'INPUT1 - Veh Geometry'!$J$128</f>
        <v>855</v>
      </c>
      <c r="R173" s="10">
        <f t="shared" ref="R173:S180" si="117">$Q173</f>
        <v>855</v>
      </c>
      <c r="S173" s="10">
        <f t="shared" si="117"/>
        <v>855</v>
      </c>
      <c r="T173" s="7">
        <f t="shared" si="115"/>
        <v>-0.94142045454545453</v>
      </c>
      <c r="U173" s="48">
        <f t="shared" ref="U173:U180" si="118">IF(ISNUMBER(K173),L173*K173*(O173-$D$262)/E,)</f>
        <v>7.2414204545454544</v>
      </c>
      <c r="V173" s="3"/>
      <c r="W173" s="3"/>
      <c r="X173" s="3"/>
      <c r="Y173" s="503">
        <f t="shared" si="99"/>
        <v>6.3</v>
      </c>
      <c r="Z173" s="1" t="s">
        <v>334</v>
      </c>
      <c r="AA173" s="504"/>
      <c r="AB173" s="504" t="str">
        <f t="shared" si="113"/>
        <v>HAYON / COFFRE</v>
      </c>
      <c r="AC173" s="504" t="str">
        <f t="shared" si="94"/>
        <v>EQUIPEMENT COFFRE</v>
      </c>
      <c r="AD173" s="504" t="str">
        <f t="shared" si="95"/>
        <v/>
      </c>
      <c r="AE173" s="504" t="str">
        <f t="shared" si="96"/>
        <v xml:space="preserve">HAYON / COFFRE / EQUIPEMENT COFFRE  / </v>
      </c>
      <c r="AF173" s="504"/>
      <c r="AH173" t="s">
        <v>686</v>
      </c>
      <c r="AL173" t="s">
        <v>687</v>
      </c>
    </row>
    <row r="174" spans="2:38" ht="15" customHeight="1" outlineLevel="1">
      <c r="B174" s="47"/>
      <c r="C174" s="35" t="s">
        <v>688</v>
      </c>
      <c r="D174" s="35"/>
      <c r="E174" s="35"/>
      <c r="F174" s="35"/>
      <c r="G174" s="35"/>
      <c r="H174" s="35"/>
      <c r="I174" s="102"/>
      <c r="K174" s="42">
        <v>1</v>
      </c>
      <c r="L174" s="106">
        <v>8.9</v>
      </c>
      <c r="M174" s="202"/>
      <c r="O174" s="446">
        <f>'INPUT1 - Veh Geometry'!$H$128</f>
        <v>2992</v>
      </c>
      <c r="P174" s="10">
        <f>'INPUT1 - Veh Geometry'!I129</f>
        <v>0</v>
      </c>
      <c r="Q174" s="10">
        <f>'INPUT1 - Veh Geometry'!$J$128</f>
        <v>855</v>
      </c>
      <c r="R174" s="10">
        <f t="shared" si="117"/>
        <v>855</v>
      </c>
      <c r="S174" s="10">
        <f t="shared" si="117"/>
        <v>855</v>
      </c>
      <c r="T174" s="7">
        <f t="shared" ref="T174" si="119">L174*K174-U174</f>
        <v>-1.3299431818181819</v>
      </c>
      <c r="U174" s="48">
        <f t="shared" si="118"/>
        <v>10.229943181818182</v>
      </c>
      <c r="V174" s="3"/>
      <c r="W174" s="3"/>
      <c r="X174" s="3"/>
      <c r="Y174" s="503">
        <f t="shared" ref="Y174" si="120">IF(ISNUMBER(K174),L174*K174,0)</f>
        <v>8.9</v>
      </c>
      <c r="Z174" s="1" t="s">
        <v>334</v>
      </c>
      <c r="AA174" s="504"/>
      <c r="AB174" s="504" t="str">
        <f t="shared" si="113"/>
        <v>HAYON / COFFRE</v>
      </c>
      <c r="AC174" s="504" t="str">
        <f t="shared" si="94"/>
        <v>EQUIPEMENT HAYON</v>
      </c>
      <c r="AD174" s="504" t="str">
        <f t="shared" si="95"/>
        <v/>
      </c>
      <c r="AE174" s="504" t="str">
        <f t="shared" si="96"/>
        <v xml:space="preserve">HAYON / COFFRE / EQUIPEMENT HAYON  / </v>
      </c>
      <c r="AF174" s="504"/>
      <c r="AH174" t="s">
        <v>686</v>
      </c>
      <c r="AL174" t="s">
        <v>687</v>
      </c>
    </row>
    <row r="175" spans="2:38" ht="15" customHeight="1" outlineLevel="1">
      <c r="B175" s="47"/>
      <c r="C175" s="35" t="s">
        <v>689</v>
      </c>
      <c r="D175" s="35"/>
      <c r="E175" s="35"/>
      <c r="F175" s="35"/>
      <c r="G175" s="35"/>
      <c r="H175" s="35"/>
      <c r="I175" s="102"/>
      <c r="K175" s="42"/>
      <c r="L175" s="106"/>
      <c r="M175" s="202"/>
      <c r="O175" s="446">
        <f>'INPUT1 - Veh Geometry'!$H$128</f>
        <v>2992</v>
      </c>
      <c r="P175" s="10">
        <f>'INPUT1 - Veh Geometry'!I130</f>
        <v>0</v>
      </c>
      <c r="Q175" s="10">
        <f>'INPUT1 - Veh Geometry'!$J$128</f>
        <v>855</v>
      </c>
      <c r="R175" s="10">
        <f t="shared" si="117"/>
        <v>855</v>
      </c>
      <c r="S175" s="10">
        <f t="shared" si="117"/>
        <v>855</v>
      </c>
      <c r="T175" s="7">
        <f t="shared" ref="T175" si="121">L175*K175-U175</f>
        <v>0</v>
      </c>
      <c r="U175" s="48">
        <f t="shared" si="118"/>
        <v>0</v>
      </c>
      <c r="V175" s="3"/>
      <c r="W175" s="3"/>
      <c r="X175" s="3"/>
      <c r="Y175" s="503">
        <f t="shared" ref="Y175" si="122">IF(ISNUMBER(K175),L175*K175,0)</f>
        <v>0</v>
      </c>
      <c r="Z175" s="1" t="s">
        <v>334</v>
      </c>
      <c r="AA175" s="504"/>
      <c r="AB175" s="504" t="str">
        <f t="shared" si="113"/>
        <v>HAYON / COFFRE</v>
      </c>
      <c r="AC175" s="504" t="str">
        <f t="shared" si="94"/>
        <v>EQUIPEMENT PORTE COFFRE</v>
      </c>
      <c r="AD175" s="504" t="str">
        <f t="shared" si="95"/>
        <v/>
      </c>
      <c r="AE175" s="504" t="str">
        <f t="shared" si="96"/>
        <v xml:space="preserve">HAYON / COFFRE / EQUIPEMENT PORTE COFFRE  / </v>
      </c>
      <c r="AF175" s="504"/>
      <c r="AH175" t="s">
        <v>686</v>
      </c>
      <c r="AL175" t="s">
        <v>687</v>
      </c>
    </row>
    <row r="176" spans="2:38" ht="15" customHeight="1" outlineLevel="1">
      <c r="B176" s="47"/>
      <c r="C176" s="35" t="s">
        <v>690</v>
      </c>
      <c r="D176" s="35"/>
      <c r="E176" s="35"/>
      <c r="F176" s="35"/>
      <c r="G176" s="35"/>
      <c r="H176" s="35"/>
      <c r="I176" s="102"/>
      <c r="K176" s="42"/>
      <c r="L176" s="106"/>
      <c r="M176" s="202"/>
      <c r="O176" s="446">
        <f>'INPUT1 - Veh Geometry'!$H$128</f>
        <v>2992</v>
      </c>
      <c r="P176" s="10">
        <f>'INPUT1 - Veh Geometry'!I128</f>
        <v>2</v>
      </c>
      <c r="Q176" s="10">
        <f>'INPUT1 - Veh Geometry'!$J$128</f>
        <v>855</v>
      </c>
      <c r="R176" s="10">
        <f t="shared" si="117"/>
        <v>855</v>
      </c>
      <c r="S176" s="10">
        <f t="shared" si="117"/>
        <v>855</v>
      </c>
      <c r="T176" s="7">
        <f t="shared" si="115"/>
        <v>0</v>
      </c>
      <c r="U176" s="48">
        <f t="shared" si="118"/>
        <v>0</v>
      </c>
      <c r="V176" s="3"/>
      <c r="W176" s="3"/>
      <c r="X176" s="3"/>
      <c r="Y176" s="503">
        <f t="shared" si="99"/>
        <v>0</v>
      </c>
      <c r="Z176" s="1" t="s">
        <v>334</v>
      </c>
      <c r="AA176" s="504"/>
      <c r="AB176" s="504" t="str">
        <f t="shared" si="113"/>
        <v>HAYON / COFFRE</v>
      </c>
      <c r="AC176" s="504" t="str">
        <f t="shared" si="94"/>
        <v>TOLERIE COFFRE</v>
      </c>
      <c r="AD176" s="504" t="str">
        <f t="shared" si="95"/>
        <v/>
      </c>
      <c r="AE176" s="504" t="str">
        <f t="shared" si="96"/>
        <v xml:space="preserve">HAYON / COFFRE / TOLERIE COFFRE  / </v>
      </c>
      <c r="AF176" s="504"/>
      <c r="AH176" t="s">
        <v>686</v>
      </c>
      <c r="AL176" t="s">
        <v>687</v>
      </c>
    </row>
    <row r="177" spans="2:38" ht="15" customHeight="1" outlineLevel="1">
      <c r="B177" s="47"/>
      <c r="C177" s="35" t="s">
        <v>691</v>
      </c>
      <c r="D177" s="35"/>
      <c r="E177" s="35"/>
      <c r="F177" s="35"/>
      <c r="G177" s="35"/>
      <c r="H177" s="35"/>
      <c r="I177" s="102"/>
      <c r="K177" s="42"/>
      <c r="L177" s="106"/>
      <c r="M177" s="202"/>
      <c r="O177" s="446">
        <f>'INPUT1 - Veh Geometry'!$H$128</f>
        <v>2992</v>
      </c>
      <c r="P177" s="10">
        <f>'INPUT1 - Veh Geometry'!I129</f>
        <v>0</v>
      </c>
      <c r="Q177" s="10">
        <f>'INPUT1 - Veh Geometry'!$J$128</f>
        <v>855</v>
      </c>
      <c r="R177" s="10">
        <f t="shared" si="117"/>
        <v>855</v>
      </c>
      <c r="S177" s="10">
        <f t="shared" si="117"/>
        <v>855</v>
      </c>
      <c r="T177" s="7">
        <f t="shared" ref="T177" si="123">L177*K177-U177</f>
        <v>0</v>
      </c>
      <c r="U177" s="48">
        <f t="shared" si="118"/>
        <v>0</v>
      </c>
      <c r="V177" s="3"/>
      <c r="W177" s="3"/>
      <c r="X177" s="3"/>
      <c r="Y177" s="503">
        <f t="shared" ref="Y177" si="124">IF(ISNUMBER(K177),L177*K177,0)</f>
        <v>0</v>
      </c>
      <c r="Z177" s="1" t="s">
        <v>334</v>
      </c>
      <c r="AA177" s="504"/>
      <c r="AB177" s="504" t="str">
        <f t="shared" si="113"/>
        <v>HAYON / COFFRE</v>
      </c>
      <c r="AC177" s="504" t="str">
        <f t="shared" si="94"/>
        <v>TOLERIE HAYON</v>
      </c>
      <c r="AD177" s="504" t="str">
        <f t="shared" si="95"/>
        <v/>
      </c>
      <c r="AE177" s="504" t="str">
        <f t="shared" si="96"/>
        <v xml:space="preserve">HAYON / COFFRE / TOLERIE HAYON  / </v>
      </c>
      <c r="AF177" s="504"/>
      <c r="AH177" t="s">
        <v>686</v>
      </c>
      <c r="AL177" t="s">
        <v>687</v>
      </c>
    </row>
    <row r="178" spans="2:38" ht="15" customHeight="1" outlineLevel="1">
      <c r="B178" s="47"/>
      <c r="C178" s="35" t="s">
        <v>692</v>
      </c>
      <c r="D178" s="35"/>
      <c r="E178" s="35"/>
      <c r="F178" s="35"/>
      <c r="G178" s="35"/>
      <c r="H178" s="35"/>
      <c r="I178" s="102"/>
      <c r="K178" s="42">
        <v>1</v>
      </c>
      <c r="L178" s="106">
        <v>14.4</v>
      </c>
      <c r="M178" s="202"/>
      <c r="O178" s="446">
        <f>'INPUT1 - Veh Geometry'!$H$128</f>
        <v>2992</v>
      </c>
      <c r="P178" s="10">
        <f>'INPUT1 - Veh Geometry'!I130</f>
        <v>0</v>
      </c>
      <c r="Q178" s="10">
        <f>'INPUT1 - Veh Geometry'!$J$128</f>
        <v>855</v>
      </c>
      <c r="R178" s="10">
        <f t="shared" si="117"/>
        <v>855</v>
      </c>
      <c r="S178" s="10">
        <f t="shared" si="117"/>
        <v>855</v>
      </c>
      <c r="T178" s="7">
        <f t="shared" ref="T178:T179" si="125">L178*K178-U178</f>
        <v>-2.1518181818181841</v>
      </c>
      <c r="U178" s="48">
        <f t="shared" si="118"/>
        <v>16.551818181818184</v>
      </c>
      <c r="V178" s="3"/>
      <c r="W178" s="3"/>
      <c r="X178" s="3"/>
      <c r="Y178" s="503">
        <f t="shared" ref="Y178:Y179" si="126">IF(ISNUMBER(K178),L178*K178,0)</f>
        <v>14.4</v>
      </c>
      <c r="Z178" s="1" t="s">
        <v>334</v>
      </c>
      <c r="AA178" s="504"/>
      <c r="AB178" s="504" t="str">
        <f t="shared" si="113"/>
        <v>HAYON / COFFRE</v>
      </c>
      <c r="AC178" s="504" t="str">
        <f t="shared" si="94"/>
        <v>TOLERIE PORTE COFFRE</v>
      </c>
      <c r="AD178" s="504" t="str">
        <f t="shared" si="95"/>
        <v/>
      </c>
      <c r="AE178" s="504" t="str">
        <f t="shared" si="96"/>
        <v xml:space="preserve">HAYON / COFFRE / TOLERIE PORTE COFFRE  / </v>
      </c>
      <c r="AF178" s="504"/>
      <c r="AH178" t="s">
        <v>686</v>
      </c>
      <c r="AL178" t="s">
        <v>687</v>
      </c>
    </row>
    <row r="179" spans="2:38" ht="15" customHeight="1" outlineLevel="1">
      <c r="B179" s="47"/>
      <c r="C179" s="35" t="s">
        <v>693</v>
      </c>
      <c r="D179" s="35"/>
      <c r="E179" s="35"/>
      <c r="F179" s="35"/>
      <c r="G179" s="35"/>
      <c r="H179" s="35"/>
      <c r="I179" s="102"/>
      <c r="K179" s="42">
        <v>1</v>
      </c>
      <c r="L179" s="106">
        <v>3</v>
      </c>
      <c r="M179" s="202"/>
      <c r="O179" s="446">
        <f>'INPUT1 - Veh Geometry'!$H$128</f>
        <v>2992</v>
      </c>
      <c r="P179" s="10">
        <f>'INPUT1 - Veh Geometry'!I127</f>
        <v>-5</v>
      </c>
      <c r="Q179" s="10">
        <f>'INPUT1 - Veh Geometry'!$J$128</f>
        <v>855</v>
      </c>
      <c r="R179" s="10">
        <f t="shared" si="117"/>
        <v>855</v>
      </c>
      <c r="S179" s="10">
        <f t="shared" si="117"/>
        <v>855</v>
      </c>
      <c r="T179" s="7">
        <f t="shared" si="125"/>
        <v>-0.4482954545454545</v>
      </c>
      <c r="U179" s="48">
        <f t="shared" si="118"/>
        <v>3.4482954545454545</v>
      </c>
      <c r="V179" s="3"/>
      <c r="W179" s="3"/>
      <c r="X179" s="3"/>
      <c r="Y179" s="503">
        <f t="shared" si="126"/>
        <v>3</v>
      </c>
      <c r="Z179" s="1" t="s">
        <v>334</v>
      </c>
      <c r="AA179" s="504"/>
      <c r="AB179" s="504" t="str">
        <f t="shared" si="113"/>
        <v>HAYON / COFFRE</v>
      </c>
      <c r="AC179" s="504" t="str">
        <f t="shared" si="94"/>
        <v>VITRAGE HAYON</v>
      </c>
      <c r="AD179" s="504" t="str">
        <f t="shared" si="95"/>
        <v/>
      </c>
      <c r="AE179" s="504" t="str">
        <f t="shared" si="96"/>
        <v xml:space="preserve">HAYON / COFFRE / VITRAGE HAYON  / </v>
      </c>
      <c r="AF179" s="504"/>
      <c r="AH179" t="s">
        <v>686</v>
      </c>
      <c r="AL179" t="s">
        <v>687</v>
      </c>
    </row>
    <row r="180" spans="2:38" ht="15" customHeight="1" outlineLevel="1">
      <c r="B180" s="47"/>
      <c r="C180" s="35" t="s">
        <v>694</v>
      </c>
      <c r="D180" s="35"/>
      <c r="E180" s="35"/>
      <c r="F180" s="35"/>
      <c r="G180" s="35"/>
      <c r="H180" s="35"/>
      <c r="I180" s="102"/>
      <c r="K180" s="42"/>
      <c r="L180" s="106"/>
      <c r="M180" s="202"/>
      <c r="O180" s="446">
        <f>'INPUT1 - Veh Geometry'!$H$128</f>
        <v>2992</v>
      </c>
      <c r="P180" s="10">
        <f>'INPUT1 - Veh Geometry'!I128</f>
        <v>2</v>
      </c>
      <c r="Q180" s="10">
        <f>'INPUT1 - Veh Geometry'!$J$128</f>
        <v>855</v>
      </c>
      <c r="R180" s="10">
        <f t="shared" si="117"/>
        <v>855</v>
      </c>
      <c r="S180" s="10">
        <f t="shared" si="117"/>
        <v>855</v>
      </c>
      <c r="T180" s="7">
        <f t="shared" si="115"/>
        <v>0</v>
      </c>
      <c r="U180" s="48">
        <f t="shared" si="118"/>
        <v>0</v>
      </c>
      <c r="V180" s="3"/>
      <c r="W180" s="3"/>
      <c r="X180" s="3"/>
      <c r="Y180" s="503">
        <f t="shared" si="99"/>
        <v>0</v>
      </c>
      <c r="Z180" s="1" t="s">
        <v>334</v>
      </c>
      <c r="AA180" s="504"/>
      <c r="AB180" s="504" t="str">
        <f t="shared" si="113"/>
        <v>HAYON / COFFRE</v>
      </c>
      <c r="AC180" s="504" t="str">
        <f t="shared" si="94"/>
        <v>VITRAGE PORTE COFFRE</v>
      </c>
      <c r="AD180" s="504" t="str">
        <f t="shared" si="95"/>
        <v/>
      </c>
      <c r="AE180" s="504" t="str">
        <f t="shared" si="96"/>
        <v xml:space="preserve">HAYON / COFFRE / VITRAGE PORTE COFFRE  / </v>
      </c>
      <c r="AF180" s="504"/>
      <c r="AH180" t="s">
        <v>686</v>
      </c>
      <c r="AL180" t="s">
        <v>687</v>
      </c>
    </row>
    <row r="181" spans="2:38" ht="15" customHeight="1">
      <c r="B181" s="9" t="s">
        <v>695</v>
      </c>
      <c r="C181" s="8"/>
      <c r="D181" s="8"/>
      <c r="E181" s="8"/>
      <c r="F181" s="8" t="s">
        <v>696</v>
      </c>
      <c r="G181" s="8"/>
      <c r="H181" s="8"/>
      <c r="I181" s="29"/>
      <c r="K181" s="33"/>
      <c r="L181" s="22">
        <f>SUMPRODUCT(K182:K183,L182:L183)</f>
        <v>6.048</v>
      </c>
      <c r="M181" s="203"/>
      <c r="O181" s="33">
        <f t="shared" ref="O181:S181" si="127">SUMPRODUCT($K182:$K183,$L182:$L183,O182:O183)/$L181</f>
        <v>743.6269841269841</v>
      </c>
      <c r="P181" s="23">
        <f t="shared" si="127"/>
        <v>-1.8553571428571431</v>
      </c>
      <c r="Q181" s="23">
        <f t="shared" si="127"/>
        <v>249.55357142857144</v>
      </c>
      <c r="R181" s="23">
        <f t="shared" si="127"/>
        <v>249.55357142857144</v>
      </c>
      <c r="S181" s="23">
        <f t="shared" si="127"/>
        <v>249.55357142857144</v>
      </c>
      <c r="T181" s="22">
        <f>SUM(T182:T183)</f>
        <v>4.2470545454545459</v>
      </c>
      <c r="U181" s="32">
        <f>SUMIF($K182:$K183,"&gt;0",$U182:$U183)</f>
        <v>1.8009454545454544</v>
      </c>
      <c r="V181" s="3"/>
      <c r="W181" s="3"/>
      <c r="X181" s="3"/>
      <c r="Y181" s="503">
        <f t="shared" si="99"/>
        <v>0</v>
      </c>
      <c r="Z181" s="1" t="s">
        <v>441</v>
      </c>
      <c r="AA181" s="504"/>
      <c r="AB181" s="504" t="str">
        <f t="shared" si="113"/>
        <v>INSONORISATION</v>
      </c>
      <c r="AC181" s="504" t="str">
        <f t="shared" si="94"/>
        <v>VITRAGE PORTE COFFRE</v>
      </c>
      <c r="AD181" s="504" t="str">
        <f t="shared" si="95"/>
        <v/>
      </c>
      <c r="AE181" s="504" t="str">
        <f t="shared" si="96"/>
        <v xml:space="preserve">INSONORISATION / VITRAGE PORTE COFFRE  / </v>
      </c>
      <c r="AF181" s="504"/>
    </row>
    <row r="182" spans="2:38" ht="15" customHeight="1" outlineLevel="1">
      <c r="B182" s="47"/>
      <c r="C182" s="35" t="s">
        <v>697</v>
      </c>
      <c r="D182" s="35"/>
      <c r="E182" s="35"/>
      <c r="F182" s="35"/>
      <c r="G182" s="35"/>
      <c r="H182" s="35"/>
      <c r="I182" s="102"/>
      <c r="K182" s="42">
        <v>1</v>
      </c>
      <c r="L182" s="106">
        <v>5.7480000000000002</v>
      </c>
      <c r="M182" s="202"/>
      <c r="O182" s="446">
        <f>'INPUT1 - Veh Geometry'!$H$119/2</f>
        <v>697</v>
      </c>
      <c r="P182" s="10">
        <f>'INPUT1 - Veh Geometry'!$I$119</f>
        <v>-1.9</v>
      </c>
      <c r="Q182" s="10">
        <f>'INPUT1 - Veh Geometry'!$J$119</f>
        <v>200</v>
      </c>
      <c r="R182" s="10">
        <f t="shared" ref="R182:S183" si="128">$Q182</f>
        <v>200</v>
      </c>
      <c r="S182" s="10">
        <f t="shared" si="128"/>
        <v>200</v>
      </c>
      <c r="T182" s="7">
        <f t="shared" si="115"/>
        <v>4.1379068181818184</v>
      </c>
      <c r="U182" s="48">
        <f>IF(ISNUMBER(K182),L182*K182*(O182-$D$262)/E,)</f>
        <v>1.6100931818181816</v>
      </c>
      <c r="V182" s="3"/>
      <c r="W182" s="3"/>
      <c r="X182" s="3"/>
      <c r="Y182" s="503">
        <f t="shared" si="99"/>
        <v>5.7480000000000002</v>
      </c>
      <c r="Z182" s="1" t="s">
        <v>441</v>
      </c>
      <c r="AA182" s="504"/>
      <c r="AB182" s="504" t="str">
        <f t="shared" si="113"/>
        <v>INSONORISATION</v>
      </c>
      <c r="AC182" s="504" t="str">
        <f t="shared" si="94"/>
        <v>Insono</v>
      </c>
      <c r="AD182" s="504" t="str">
        <f t="shared" si="95"/>
        <v/>
      </c>
      <c r="AE182" s="504" t="str">
        <f t="shared" si="96"/>
        <v xml:space="preserve">INSONORISATION / Insono  / </v>
      </c>
      <c r="AF182" s="504"/>
      <c r="AH182" t="s">
        <v>686</v>
      </c>
      <c r="AL182" t="s">
        <v>687</v>
      </c>
    </row>
    <row r="183" spans="2:38" ht="15" customHeight="1" outlineLevel="1">
      <c r="B183" s="47"/>
      <c r="C183" s="35" t="s">
        <v>698</v>
      </c>
      <c r="D183" s="35"/>
      <c r="E183" s="35"/>
      <c r="F183" s="35"/>
      <c r="G183" s="35"/>
      <c r="H183" s="35"/>
      <c r="I183" s="102"/>
      <c r="K183" s="42">
        <v>1</v>
      </c>
      <c r="L183" s="106">
        <v>0.3</v>
      </c>
      <c r="M183" s="202"/>
      <c r="O183" s="446">
        <f>'INPUT1 - Veh Geometry'!$H$126</f>
        <v>1637</v>
      </c>
      <c r="P183" s="10">
        <f>'INPUT1 - Veh Geometry'!$I$126</f>
        <v>-1</v>
      </c>
      <c r="Q183" s="10">
        <f>'INPUT1 - Veh Geometry'!$J$126</f>
        <v>1199</v>
      </c>
      <c r="R183" s="10">
        <f t="shared" si="128"/>
        <v>1199</v>
      </c>
      <c r="S183" s="10">
        <f t="shared" si="128"/>
        <v>1199</v>
      </c>
      <c r="T183" s="7">
        <f t="shared" si="115"/>
        <v>0.10914772727272729</v>
      </c>
      <c r="U183" s="48">
        <f>IF(ISNUMBER(K183),L183*K183*(O183-$D$262)/E,)</f>
        <v>0.1908522727272727</v>
      </c>
      <c r="V183" s="3"/>
      <c r="W183" s="3"/>
      <c r="X183" s="3"/>
      <c r="Y183" s="503">
        <f t="shared" si="99"/>
        <v>0.3</v>
      </c>
      <c r="Z183" s="1" t="s">
        <v>441</v>
      </c>
      <c r="AA183" s="504"/>
      <c r="AB183" s="504" t="str">
        <f t="shared" si="113"/>
        <v>INSONORISATION</v>
      </c>
      <c r="AC183" s="504" t="str">
        <f t="shared" si="94"/>
        <v>coiffe pavillon</v>
      </c>
      <c r="AD183" s="504" t="str">
        <f t="shared" si="95"/>
        <v/>
      </c>
      <c r="AE183" s="504" t="str">
        <f t="shared" si="96"/>
        <v xml:space="preserve">INSONORISATION / coiffe pavillon  / </v>
      </c>
      <c r="AF183" s="504"/>
      <c r="AH183" t="s">
        <v>686</v>
      </c>
      <c r="AL183" t="s">
        <v>687</v>
      </c>
    </row>
    <row r="184" spans="2:38" ht="15" customHeight="1">
      <c r="B184" s="9" t="s">
        <v>699</v>
      </c>
      <c r="C184" s="8"/>
      <c r="D184" s="8"/>
      <c r="E184" s="8"/>
      <c r="F184" s="8" t="s">
        <v>700</v>
      </c>
      <c r="G184" s="8"/>
      <c r="H184" s="8"/>
      <c r="I184" s="29"/>
      <c r="K184" s="33"/>
      <c r="L184" s="22">
        <f>SUMPRODUCT(L185:L204,K185:K204)</f>
        <v>202.19999999999996</v>
      </c>
      <c r="M184" s="203"/>
      <c r="O184" s="33">
        <f t="shared" ref="O184:P184" si="129">SUMPRODUCT($K185:$K204,$L185:$L204,O185:O204)/$L184</f>
        <v>1208.4423837784373</v>
      </c>
      <c r="P184" s="23">
        <f t="shared" si="129"/>
        <v>0</v>
      </c>
      <c r="Q184" s="23">
        <f>SUMPRODUCT($K185:$K204,$L185:$L204,Q185:Q204)/$L184</f>
        <v>83.772898120672622</v>
      </c>
      <c r="R184" s="23">
        <f>SUMPRODUCT($K185:$K204,$L185:$L204,R185:R204)/$L184</f>
        <v>63.388006923837793</v>
      </c>
      <c r="S184" s="23">
        <f>SUMPRODUCT($K185:$K204,$L185:$L204,S185:S204)/$L184</f>
        <v>93.348936696340274</v>
      </c>
      <c r="T184" s="22">
        <f>SUMIF($K185:$K204,"&gt;0",$T185:$T204)</f>
        <v>106.38918560606062</v>
      </c>
      <c r="U184" s="50">
        <f>SUMIF($K185:$K204,"&gt;0",$U185:$U204)</f>
        <v>95.810814393939395</v>
      </c>
      <c r="V184" s="3"/>
      <c r="W184" s="3"/>
      <c r="X184" s="3"/>
      <c r="Y184" s="503">
        <f t="shared" si="99"/>
        <v>0</v>
      </c>
      <c r="Z184" s="1" t="s">
        <v>470</v>
      </c>
      <c r="AA184" s="504"/>
      <c r="AB184" s="504" t="str">
        <f t="shared" si="113"/>
        <v>LAS</v>
      </c>
      <c r="AC184" s="504" t="str">
        <f t="shared" si="94"/>
        <v>coiffe pavillon</v>
      </c>
      <c r="AD184" s="504" t="str">
        <f t="shared" si="95"/>
        <v/>
      </c>
      <c r="AE184" s="504" t="str">
        <f t="shared" si="96"/>
        <v xml:space="preserve">LAS / coiffe pavillon  / </v>
      </c>
      <c r="AF184" s="504"/>
    </row>
    <row r="185" spans="2:38" ht="15" customHeight="1" outlineLevel="1">
      <c r="B185" s="47"/>
      <c r="C185" s="35" t="s">
        <v>701</v>
      </c>
      <c r="D185" s="35"/>
      <c r="E185" s="35"/>
      <c r="F185" s="35" t="s">
        <v>702</v>
      </c>
      <c r="G185" s="35"/>
      <c r="H185" s="35"/>
      <c r="I185" s="102"/>
      <c r="K185" s="42"/>
      <c r="L185" s="106"/>
      <c r="M185" s="202"/>
      <c r="O185" s="448">
        <f>'INPUT1 - Veh Geometry'!$H$33/2+'INPUT1 - Veh Geometry'!$H$61</f>
        <v>1277.5</v>
      </c>
      <c r="P185" s="13">
        <v>0</v>
      </c>
      <c r="Q185" s="13">
        <f>(Q191+Q198)/2</f>
        <v>195.2</v>
      </c>
      <c r="R185" s="10">
        <f t="shared" ref="R185:S186" si="130">$Q185</f>
        <v>195.2</v>
      </c>
      <c r="S185" s="10">
        <f t="shared" si="130"/>
        <v>195.2</v>
      </c>
      <c r="T185" s="7">
        <f t="shared" si="115"/>
        <v>0</v>
      </c>
      <c r="U185" s="48">
        <f>IF(ISNUMBER(K185),L185*K185*(O185-$D$262)/E,)</f>
        <v>0</v>
      </c>
      <c r="V185" s="3"/>
      <c r="W185" s="3"/>
      <c r="X185" s="3"/>
      <c r="Y185" s="503">
        <f t="shared" si="99"/>
        <v>0</v>
      </c>
      <c r="Z185" s="1" t="s">
        <v>470</v>
      </c>
      <c r="AA185" s="504"/>
      <c r="AB185" s="504" t="str">
        <f t="shared" si="113"/>
        <v>LAS</v>
      </c>
      <c r="AC185" s="504" t="str">
        <f t="shared" si="94"/>
        <v>Système suspension pilotée</v>
      </c>
      <c r="AD185" s="504" t="str">
        <f t="shared" si="95"/>
        <v/>
      </c>
      <c r="AE185" s="504" t="str">
        <f t="shared" si="96"/>
        <v xml:space="preserve">LAS / Système suspension pilotée  / </v>
      </c>
      <c r="AF185" s="504"/>
    </row>
    <row r="186" spans="2:38" ht="15" customHeight="1" outlineLevel="1">
      <c r="B186" s="47"/>
      <c r="C186" s="35" t="s">
        <v>703</v>
      </c>
      <c r="D186" s="35"/>
      <c r="E186" s="35"/>
      <c r="F186" s="35" t="s">
        <v>704</v>
      </c>
      <c r="G186" s="35"/>
      <c r="H186" s="35"/>
      <c r="I186" s="102"/>
      <c r="K186" s="42"/>
      <c r="L186" s="106"/>
      <c r="M186" s="202"/>
      <c r="O186" s="446">
        <f>'INPUT1 - Veh Geometry'!$H$105</f>
        <v>2600</v>
      </c>
      <c r="P186" s="10">
        <f>'INPUT1 - Veh Geometry'!$I$105</f>
        <v>0</v>
      </c>
      <c r="Q186" s="10">
        <f>'INPUT1 - Veh Geometry'!$J$105</f>
        <v>252</v>
      </c>
      <c r="R186" s="10">
        <f t="shared" si="130"/>
        <v>252</v>
      </c>
      <c r="S186" s="10">
        <f t="shared" si="130"/>
        <v>252</v>
      </c>
      <c r="T186" s="7">
        <f t="shared" si="115"/>
        <v>0</v>
      </c>
      <c r="U186" s="48">
        <f>IF(ISNUMBER(K186),L186*K186*(O186-$D$262)/E,)</f>
        <v>0</v>
      </c>
      <c r="V186" s="3"/>
      <c r="W186" s="3"/>
      <c r="X186" s="3"/>
      <c r="Y186" s="503">
        <f t="shared" si="99"/>
        <v>0</v>
      </c>
      <c r="Z186" s="1" t="s">
        <v>705</v>
      </c>
      <c r="AA186" s="504"/>
      <c r="AB186" s="504" t="str">
        <f t="shared" si="113"/>
        <v>LAS</v>
      </c>
      <c r="AC186" s="504" t="str">
        <f t="shared" si="94"/>
        <v>R.D.S.</v>
      </c>
      <c r="AD186" s="504" t="str">
        <f t="shared" si="95"/>
        <v/>
      </c>
      <c r="AE186" s="504" t="str">
        <f t="shared" si="96"/>
        <v xml:space="preserve">LAS / R.D.S.  / </v>
      </c>
      <c r="AF186" s="504"/>
    </row>
    <row r="187" spans="2:38" ht="15" customHeight="1" outlineLevel="1">
      <c r="B187" s="12"/>
      <c r="C187" s="11" t="s">
        <v>706</v>
      </c>
      <c r="D187" s="11"/>
      <c r="E187" s="11"/>
      <c r="F187" s="11" t="s">
        <v>95</v>
      </c>
      <c r="G187" s="11"/>
      <c r="H187" s="11"/>
      <c r="I187" s="27"/>
      <c r="K187" s="55" t="s">
        <v>153</v>
      </c>
      <c r="L187" s="58">
        <f>SUM(L188:L189)</f>
        <v>88.6</v>
      </c>
      <c r="M187" s="205">
        <f>IF('INPUT1 - Veh Geometry'!$G$77="Twisted beam",'UNSPRUNG Mass estimation'!F54,'UNSPRUNG Mass estimation'!G54)</f>
        <v>0.5</v>
      </c>
      <c r="O187" s="55"/>
      <c r="P187" s="57"/>
      <c r="Q187" s="57"/>
      <c r="R187" s="57"/>
      <c r="S187" s="57"/>
      <c r="T187" s="57"/>
      <c r="U187" s="454"/>
      <c r="V187" s="3"/>
      <c r="W187" s="3"/>
      <c r="X187" s="3"/>
      <c r="Y187" s="503">
        <f t="shared" si="99"/>
        <v>0</v>
      </c>
      <c r="Z187" s="1" t="s">
        <v>705</v>
      </c>
      <c r="AA187" s="504"/>
      <c r="AB187" s="504" t="str">
        <f t="shared" si="113"/>
        <v>LAS</v>
      </c>
      <c r="AC187" s="504" t="str">
        <f t="shared" si="94"/>
        <v>ROUES</v>
      </c>
      <c r="AD187" s="504" t="str">
        <f t="shared" si="95"/>
        <v/>
      </c>
      <c r="AE187" s="504" t="str">
        <f t="shared" si="96"/>
        <v xml:space="preserve">LAS / ROUES  / </v>
      </c>
      <c r="AF187" s="504"/>
      <c r="AH187" t="s">
        <v>639</v>
      </c>
      <c r="AL187" t="s">
        <v>640</v>
      </c>
    </row>
    <row r="188" spans="2:38" ht="15" customHeight="1" outlineLevel="2">
      <c r="B188" s="15"/>
      <c r="C188" s="14"/>
      <c r="D188" s="14" t="s">
        <v>707</v>
      </c>
      <c r="E188" s="14"/>
      <c r="F188" s="14" t="s">
        <v>678</v>
      </c>
      <c r="G188" s="14"/>
      <c r="H188" s="14"/>
      <c r="I188" s="28"/>
      <c r="K188" s="42">
        <v>1</v>
      </c>
      <c r="L188" s="106">
        <f>88.6/2</f>
        <v>44.3</v>
      </c>
      <c r="M188" s="205">
        <v>1</v>
      </c>
      <c r="O188" s="446">
        <f>'INPUT1 - Veh Geometry'!$H$72</f>
        <v>2597.5</v>
      </c>
      <c r="P188" s="10">
        <v>0</v>
      </c>
      <c r="Q188" s="10">
        <f>'INPUT1 - Veh Geometry'!$J$72</f>
        <v>76</v>
      </c>
      <c r="R188" s="10">
        <f>$Q188-'INPUT1 - Veh Geometry'!$J$73+'INPUT1 - Veh Geometry'!$J$74</f>
        <v>25</v>
      </c>
      <c r="S188" s="10">
        <f>$Q188-'INPUT1 - Veh Geometry'!$J$73+'INPUT1 - Veh Geometry'!$J$75</f>
        <v>107</v>
      </c>
      <c r="T188" s="7">
        <f t="shared" si="115"/>
        <v>0</v>
      </c>
      <c r="U188" s="48">
        <f>IF(ISNUMBER(K188),L188*K188*(O188-$D$262)/E,)</f>
        <v>44.3</v>
      </c>
      <c r="V188" s="3"/>
      <c r="W188" s="3"/>
      <c r="X188" s="3"/>
      <c r="Y188" s="503">
        <f t="shared" si="99"/>
        <v>44.3</v>
      </c>
      <c r="Z188" s="1" t="s">
        <v>705</v>
      </c>
      <c r="AA188" s="505" t="s">
        <v>708</v>
      </c>
      <c r="AB188" s="504" t="str">
        <f t="shared" si="113"/>
        <v>LAS</v>
      </c>
      <c r="AC188" s="504" t="str">
        <f t="shared" si="94"/>
        <v>ROUES</v>
      </c>
      <c r="AD188" s="504" t="str">
        <f t="shared" si="95"/>
        <v>Arrière</v>
      </c>
      <c r="AE188" s="504" t="str">
        <f t="shared" si="96"/>
        <v>LAS / ROUES  / Arrière</v>
      </c>
      <c r="AF188" s="505"/>
    </row>
    <row r="189" spans="2:38" ht="15" customHeight="1" outlineLevel="2">
      <c r="B189" s="15"/>
      <c r="C189" s="14"/>
      <c r="D189" s="14" t="s">
        <v>709</v>
      </c>
      <c r="E189" s="14"/>
      <c r="F189" s="14" t="s">
        <v>674</v>
      </c>
      <c r="G189" s="14"/>
      <c r="H189" s="14"/>
      <c r="I189" s="28"/>
      <c r="K189" s="42">
        <v>1</v>
      </c>
      <c r="L189" s="106">
        <f>88.6/2</f>
        <v>44.3</v>
      </c>
      <c r="M189" s="205">
        <v>1</v>
      </c>
      <c r="O189" s="446">
        <f>'INPUT1 - Veh Geometry'!$H$61</f>
        <v>-42.5</v>
      </c>
      <c r="P189" s="10">
        <v>0</v>
      </c>
      <c r="Q189" s="10">
        <f>'INPUT1 - Veh Geometry'!$J$61</f>
        <v>67</v>
      </c>
      <c r="R189" s="10">
        <f>$Q189-'INPUT1 - Veh Geometry'!$J$62+'INPUT1 - Veh Geometry'!$J$63</f>
        <v>45</v>
      </c>
      <c r="S189" s="10">
        <f>$Q189-'INPUT1 - Veh Geometry'!$J$62+'INPUT1 - Veh Geometry'!$J$64</f>
        <v>71</v>
      </c>
      <c r="T189" s="7">
        <f t="shared" si="115"/>
        <v>44.3</v>
      </c>
      <c r="U189" s="48">
        <f>IF(ISNUMBER(K189),L189*K189*(O189-$D$262)/E,)</f>
        <v>0</v>
      </c>
      <c r="V189" s="3"/>
      <c r="W189" s="3"/>
      <c r="X189" s="3"/>
      <c r="Y189" s="503">
        <f t="shared" si="99"/>
        <v>44.3</v>
      </c>
      <c r="Z189" s="1" t="s">
        <v>705</v>
      </c>
      <c r="AA189" s="505" t="s">
        <v>708</v>
      </c>
      <c r="AB189" s="504" t="str">
        <f t="shared" si="113"/>
        <v>LAS</v>
      </c>
      <c r="AC189" s="504" t="str">
        <f t="shared" si="94"/>
        <v>ROUES</v>
      </c>
      <c r="AD189" s="504" t="str">
        <f t="shared" si="95"/>
        <v>Avant</v>
      </c>
      <c r="AE189" s="504" t="str">
        <f t="shared" si="96"/>
        <v>LAS / ROUES  / Avant</v>
      </c>
      <c r="AF189" s="505"/>
    </row>
    <row r="190" spans="2:38" ht="15" customHeight="1" outlineLevel="1">
      <c r="B190" s="12"/>
      <c r="C190" s="11" t="s">
        <v>710</v>
      </c>
      <c r="D190" s="11"/>
      <c r="E190" s="11"/>
      <c r="F190" s="11"/>
      <c r="G190" s="11"/>
      <c r="H190" s="11"/>
      <c r="I190" s="27"/>
      <c r="K190" s="55" t="s">
        <v>153</v>
      </c>
      <c r="L190" s="58">
        <f>SUMPRODUCT(L191:L196,K191:K196)</f>
        <v>49.2</v>
      </c>
      <c r="M190" s="202"/>
      <c r="O190" s="55">
        <f>SUMPRODUCT(O191:O196,$L191:$L196,$K191:$K196)/$L190</f>
        <v>2619.6544715447153</v>
      </c>
      <c r="P190" s="57">
        <f t="shared" ref="P190:S190" si="131">SUMPRODUCT(P191:P196,$L191:$L196,$K191:$K196)/$L190</f>
        <v>0</v>
      </c>
      <c r="Q190" s="57">
        <f t="shared" si="131"/>
        <v>75.999999999999986</v>
      </c>
      <c r="R190" s="57">
        <f t="shared" si="131"/>
        <v>65.297256097560975</v>
      </c>
      <c r="S190" s="57">
        <f t="shared" si="131"/>
        <v>82.505589430894304</v>
      </c>
      <c r="T190" s="57">
        <f>SUMPRODUCT(T191:T196,$K191:$K196)</f>
        <v>-0.41287878787878718</v>
      </c>
      <c r="U190" s="454">
        <f>SUMPRODUCT(U191:U196,$K191:$K196)</f>
        <v>49.612878787878792</v>
      </c>
      <c r="V190" s="3"/>
      <c r="W190" s="3"/>
      <c r="X190" s="3"/>
      <c r="Y190" s="503">
        <f t="shared" si="99"/>
        <v>0</v>
      </c>
      <c r="Z190" s="1" t="s">
        <v>470</v>
      </c>
      <c r="AA190" s="504"/>
      <c r="AB190" s="504" t="str">
        <f t="shared" si="113"/>
        <v>LAS</v>
      </c>
      <c r="AC190" s="504" t="str">
        <f t="shared" si="94"/>
        <v>TRAIN AR</v>
      </c>
      <c r="AD190" s="504" t="str">
        <f t="shared" si="95"/>
        <v/>
      </c>
      <c r="AE190" s="504" t="str">
        <f t="shared" si="96"/>
        <v xml:space="preserve">LAS / TRAIN AR  / </v>
      </c>
      <c r="AF190" s="504"/>
      <c r="AH190" t="s">
        <v>639</v>
      </c>
      <c r="AL190" t="s">
        <v>640</v>
      </c>
    </row>
    <row r="191" spans="2:38" ht="15" customHeight="1" outlineLevel="2">
      <c r="B191" s="15"/>
      <c r="C191" s="14"/>
      <c r="D191" s="14" t="s">
        <v>711</v>
      </c>
      <c r="E191" s="14"/>
      <c r="F191" s="14" t="s">
        <v>712</v>
      </c>
      <c r="G191" s="14"/>
      <c r="H191" s="14"/>
      <c r="I191" s="28"/>
      <c r="K191" s="42">
        <v>1</v>
      </c>
      <c r="L191" s="106">
        <v>10.9</v>
      </c>
      <c r="M191" s="204">
        <f>IF('INPUT1 - Veh Geometry'!$G$77="Twisted beam",'UNSPRUNG Mass estimation'!F63,'UNSPRUNG Mass estimation'!G63)</f>
        <v>0.5</v>
      </c>
      <c r="O191" s="446">
        <f>'INPUT1 - Veh Geometry'!H$72+100</f>
        <v>2697.5</v>
      </c>
      <c r="P191" s="10">
        <f>'INPUT1 - Veh Geometry'!I$72</f>
        <v>0</v>
      </c>
      <c r="Q191" s="10">
        <f>'INPUT1 - Veh Geometry'!J$72</f>
        <v>76</v>
      </c>
      <c r="R191" s="10">
        <f>$Q191+(-'INPUT1 - Veh Geometry'!$J$73+'INPUT1 - Veh Geometry'!$J$74)/4</f>
        <v>63.25</v>
      </c>
      <c r="S191" s="10">
        <f>$Q191+(-'INPUT1 - Veh Geometry'!$J$73+'INPUT1 - Veh Geometry'!$J$75)/4</f>
        <v>83.75</v>
      </c>
      <c r="T191" s="7">
        <f t="shared" si="115"/>
        <v>-0.41287878787878718</v>
      </c>
      <c r="U191" s="48">
        <f>IF(ISNUMBER(K191),L191*K191*(O191-$D$262)/E,)</f>
        <v>11.312878787878788</v>
      </c>
      <c r="V191" s="3"/>
      <c r="W191" s="3"/>
      <c r="X191" s="3"/>
      <c r="Y191" s="503">
        <f t="shared" si="99"/>
        <v>10.9</v>
      </c>
      <c r="Z191" s="1" t="s">
        <v>470</v>
      </c>
      <c r="AA191" s="505" t="s">
        <v>713</v>
      </c>
      <c r="AB191" s="504" t="str">
        <f t="shared" si="113"/>
        <v>LAS</v>
      </c>
      <c r="AC191" s="504" t="str">
        <f t="shared" si="94"/>
        <v>TRAIN AR</v>
      </c>
      <c r="AD191" s="504" t="str">
        <f t="shared" si="95"/>
        <v>AMORTISSEURS</v>
      </c>
      <c r="AE191" s="504" t="str">
        <f t="shared" si="96"/>
        <v>LAS / TRAIN AR  / AMORTISSEURS</v>
      </c>
      <c r="AF191" s="505"/>
    </row>
    <row r="192" spans="2:38" ht="15" customHeight="1" outlineLevel="2">
      <c r="B192" s="15"/>
      <c r="C192" s="14"/>
      <c r="D192" s="14" t="s">
        <v>714</v>
      </c>
      <c r="E192" s="14"/>
      <c r="F192" s="14" t="s">
        <v>715</v>
      </c>
      <c r="G192" s="14"/>
      <c r="H192" s="14"/>
      <c r="I192" s="28"/>
      <c r="K192" s="55" t="s">
        <v>153</v>
      </c>
      <c r="L192" s="58">
        <f>SUMPRODUCT(L193:L196,K193:K196)</f>
        <v>38.299999999999997</v>
      </c>
      <c r="M192" s="202"/>
      <c r="O192" s="55">
        <f>SUMPRODUCT(K193:K196,L193:L196,O193:O196)/L192</f>
        <v>2597.5</v>
      </c>
      <c r="P192" s="57">
        <f>SUMPRODUCT(P193:P196,$L193:$L196,$K193:$K196)/$L192</f>
        <v>0</v>
      </c>
      <c r="Q192" s="57">
        <f>SUMPRODUCT(Q193:Q196,$L193:$L196,$K193:$K196)/$L192</f>
        <v>76</v>
      </c>
      <c r="R192" s="57">
        <f>SUMPRODUCT(R193:R196,$L193:$L196,$K193:$K196)/$L192</f>
        <v>65.879895561357699</v>
      </c>
      <c r="S192" s="57">
        <f>SUMPRODUCT(S193:S196,$L193:$L196,$K193:$K196)/$L192</f>
        <v>82.151436031331585</v>
      </c>
      <c r="T192" s="57">
        <f>SUMPRODUCT(T193:T196,$K193:$K196)</f>
        <v>0</v>
      </c>
      <c r="U192" s="454">
        <f>SUMPRODUCT(U193:U196,$K193:$K196)</f>
        <v>38.299999999999997</v>
      </c>
      <c r="V192" s="3"/>
      <c r="W192" s="3"/>
      <c r="X192" s="3"/>
      <c r="Y192" s="503">
        <f t="shared" si="99"/>
        <v>0</v>
      </c>
      <c r="Z192" s="1" t="s">
        <v>470</v>
      </c>
      <c r="AA192" s="504"/>
      <c r="AB192" s="504" t="str">
        <f t="shared" si="113"/>
        <v>LAS</v>
      </c>
      <c r="AC192" s="504" t="str">
        <f t="shared" si="94"/>
        <v>TRAIN AR</v>
      </c>
      <c r="AD192" s="504" t="str">
        <f t="shared" si="95"/>
        <v>Essieu Arrière</v>
      </c>
      <c r="AE192" s="504" t="str">
        <f t="shared" si="96"/>
        <v>LAS / TRAIN AR  / Essieu Arrière</v>
      </c>
      <c r="AF192" s="504"/>
      <c r="AH192" t="s">
        <v>639</v>
      </c>
      <c r="AL192" t="s">
        <v>640</v>
      </c>
    </row>
    <row r="193" spans="2:38" ht="15" customHeight="1" outlineLevel="3">
      <c r="B193" s="21"/>
      <c r="C193" s="20"/>
      <c r="D193" s="20" t="s">
        <v>716</v>
      </c>
      <c r="E193" s="20"/>
      <c r="F193" s="20" t="s">
        <v>717</v>
      </c>
      <c r="G193" s="20"/>
      <c r="H193" s="20"/>
      <c r="I193" s="31"/>
      <c r="K193" s="42">
        <v>1</v>
      </c>
      <c r="L193" s="106">
        <v>30.7</v>
      </c>
      <c r="M193" s="205">
        <f>IF('INPUT1 - Veh Geometry'!$G$77="Twisted beam",'UNSPRUNG Mass estimation'!F60,'UNSPRUNG Mass estimation'!G60)</f>
        <v>0.64</v>
      </c>
      <c r="O193" s="446">
        <f>'INPUT1 - Veh Geometry'!H$72</f>
        <v>2597.5</v>
      </c>
      <c r="P193" s="10">
        <f>'INPUT1 - Veh Geometry'!I$72</f>
        <v>0</v>
      </c>
      <c r="Q193" s="10">
        <f>'INPUT1 - Veh Geometry'!J$72</f>
        <v>76</v>
      </c>
      <c r="R193" s="10">
        <f>$Q$193</f>
        <v>76</v>
      </c>
      <c r="S193" s="10">
        <f>$Q$193</f>
        <v>76</v>
      </c>
      <c r="T193" s="7">
        <f t="shared" si="115"/>
        <v>0</v>
      </c>
      <c r="U193" s="48">
        <f>IF(ISNUMBER(K193),L193*K193*(O193-$D$262)/E,)</f>
        <v>30.7</v>
      </c>
      <c r="V193" s="3"/>
      <c r="W193" s="3"/>
      <c r="X193" s="3"/>
      <c r="Y193" s="503">
        <f t="shared" si="99"/>
        <v>30.7</v>
      </c>
      <c r="Z193" s="1" t="s">
        <v>470</v>
      </c>
      <c r="AA193" s="505" t="s">
        <v>718</v>
      </c>
      <c r="AB193" s="504" t="str">
        <f t="shared" si="113"/>
        <v>LAS</v>
      </c>
      <c r="AC193" s="504" t="str">
        <f t="shared" si="94"/>
        <v>TRAIN AR</v>
      </c>
      <c r="AD193" s="504" t="str">
        <f t="shared" si="95"/>
        <v>Essieu AR nu</v>
      </c>
      <c r="AE193" s="504" t="str">
        <f t="shared" si="96"/>
        <v>LAS / TRAIN AR  / Essieu AR nu</v>
      </c>
      <c r="AF193" s="505"/>
    </row>
    <row r="194" spans="2:38" ht="15" customHeight="1" outlineLevel="3">
      <c r="B194" s="21"/>
      <c r="C194" s="20"/>
      <c r="D194" s="20" t="s">
        <v>719</v>
      </c>
      <c r="E194" s="20"/>
      <c r="F194" s="20" t="s">
        <v>720</v>
      </c>
      <c r="G194" s="20"/>
      <c r="H194" s="20"/>
      <c r="I194" s="31"/>
      <c r="K194" s="42"/>
      <c r="L194" s="106"/>
      <c r="M194" s="205">
        <f>IF('INPUT1 - Veh Geometry'!$G$77="Twisted beam",'UNSPRUNG Mass estimation'!F61,'UNSPRUNG Mass estimation'!G61)</f>
        <v>0.55000000000000004</v>
      </c>
      <c r="O194" s="446">
        <f>'INPUT1 - Veh Geometry'!H$72</f>
        <v>2597.5</v>
      </c>
      <c r="P194" s="10">
        <f>'INPUT1 - Veh Geometry'!I$72</f>
        <v>0</v>
      </c>
      <c r="Q194" s="10">
        <f>'INPUT1 - Veh Geometry'!J$72-25</f>
        <v>51</v>
      </c>
      <c r="R194" s="10">
        <f>$Q194+(-'INPUT1 - Veh Geometry'!$J$73+'INPUT1 - Veh Geometry'!$J$74)/2</f>
        <v>25.5</v>
      </c>
      <c r="S194" s="10">
        <f>$Q194+(-'INPUT1 - Veh Geometry'!$J$73+'INPUT1 - Veh Geometry'!$J$75)/2</f>
        <v>66.5</v>
      </c>
      <c r="T194" s="7">
        <f t="shared" si="115"/>
        <v>0</v>
      </c>
      <c r="U194" s="48">
        <f>IF(ISNUMBER(K194),L194*K194*(O194-$D$262)/E,)</f>
        <v>0</v>
      </c>
      <c r="V194" s="3"/>
      <c r="W194" s="3"/>
      <c r="X194" s="3"/>
      <c r="Y194" s="503">
        <f t="shared" si="99"/>
        <v>0</v>
      </c>
      <c r="Z194" s="1" t="s">
        <v>470</v>
      </c>
      <c r="AA194" s="505" t="s">
        <v>721</v>
      </c>
      <c r="AB194" s="504" t="str">
        <f t="shared" si="113"/>
        <v>LAS</v>
      </c>
      <c r="AC194" s="504" t="str">
        <f t="shared" si="94"/>
        <v>TRAIN AR</v>
      </c>
      <c r="AD194" s="504" t="str">
        <f t="shared" si="95"/>
        <v>Système bras de guidage</v>
      </c>
      <c r="AE194" s="504" t="str">
        <f t="shared" si="96"/>
        <v>LAS / TRAIN AR  / Système bras de guidage</v>
      </c>
      <c r="AF194" s="505"/>
      <c r="AH194" t="s">
        <v>722</v>
      </c>
      <c r="AL194" t="s">
        <v>723</v>
      </c>
    </row>
    <row r="195" spans="2:38" ht="15" customHeight="1" outlineLevel="3">
      <c r="B195" s="21"/>
      <c r="C195" s="20"/>
      <c r="D195" s="20" t="s">
        <v>724</v>
      </c>
      <c r="E195" s="20"/>
      <c r="F195" s="20" t="s">
        <v>725</v>
      </c>
      <c r="G195" s="20"/>
      <c r="H195" s="20"/>
      <c r="I195" s="31"/>
      <c r="K195" s="42"/>
      <c r="L195" s="106"/>
      <c r="M195" s="205">
        <f>IF('INPUT1 - Veh Geometry'!$G$77="Twisted beam",'UNSPRUNG Mass estimation'!F64,'UNSPRUNG Mass estimation'!G64)</f>
        <v>0.2</v>
      </c>
      <c r="O195" s="446">
        <f>'INPUT1 - Veh Geometry'!H$72+350</f>
        <v>2947.5</v>
      </c>
      <c r="P195" s="10">
        <f>'INPUT1 - Veh Geometry'!I$72</f>
        <v>0</v>
      </c>
      <c r="Q195" s="10">
        <f>'INPUT1 - Veh Geometry'!J$72+50</f>
        <v>126</v>
      </c>
      <c r="R195" s="10">
        <f>$Q195+(-'INPUT1 - Veh Geometry'!$J$73+'INPUT1 - Veh Geometry'!$J$74)/5</f>
        <v>115.8</v>
      </c>
      <c r="S195" s="10">
        <f>$Q195+(-'INPUT1 - Veh Geometry'!$J$73+'INPUT1 - Veh Geometry'!$J$75)/5</f>
        <v>132.19999999999999</v>
      </c>
      <c r="T195" s="7">
        <f t="shared" si="115"/>
        <v>0</v>
      </c>
      <c r="U195" s="48">
        <f>IF(ISNUMBER(K195),L195*K195*(O195-$D$262)/E,)</f>
        <v>0</v>
      </c>
      <c r="V195" s="3"/>
      <c r="W195" s="3"/>
      <c r="X195" s="3"/>
      <c r="Y195" s="503">
        <f t="shared" si="99"/>
        <v>0</v>
      </c>
      <c r="Z195" s="1" t="s">
        <v>470</v>
      </c>
      <c r="AA195" s="505" t="s">
        <v>726</v>
      </c>
      <c r="AB195" s="504" t="str">
        <f t="shared" si="113"/>
        <v>LAS</v>
      </c>
      <c r="AC195" s="504" t="str">
        <f t="shared" si="94"/>
        <v>TRAIN AR</v>
      </c>
      <c r="AD195" s="504" t="str">
        <f t="shared" si="95"/>
        <v>Système barre stabilisatrice</v>
      </c>
      <c r="AE195" s="504" t="str">
        <f t="shared" si="96"/>
        <v>LAS / TRAIN AR  / Système barre stabilisatrice</v>
      </c>
      <c r="AF195" s="505"/>
      <c r="AH195" t="s">
        <v>727</v>
      </c>
      <c r="AL195" t="s">
        <v>728</v>
      </c>
    </row>
    <row r="196" spans="2:38" ht="15" customHeight="1" outlineLevel="3">
      <c r="B196" s="21"/>
      <c r="C196" s="20"/>
      <c r="D196" s="20" t="s">
        <v>729</v>
      </c>
      <c r="E196" s="20"/>
      <c r="F196" s="20" t="s">
        <v>730</v>
      </c>
      <c r="G196" s="20"/>
      <c r="H196" s="20"/>
      <c r="I196" s="31"/>
      <c r="K196" s="42">
        <v>1</v>
      </c>
      <c r="L196" s="106">
        <v>7.6</v>
      </c>
      <c r="M196" s="205">
        <f>IF('INPUT1 - Veh Geometry'!$G$77="Twisted beam",'UNSPRUNG Mass estimation'!F53,'UNSPRUNG Mass estimation'!G53)</f>
        <v>1</v>
      </c>
      <c r="O196" s="446">
        <f>'INPUT1 - Veh Geometry'!H$72</f>
        <v>2597.5</v>
      </c>
      <c r="P196" s="10">
        <f>'INPUT1 - Veh Geometry'!I$72</f>
        <v>0</v>
      </c>
      <c r="Q196" s="10">
        <f>'INPUT1 - Veh Geometry'!J$72</f>
        <v>76</v>
      </c>
      <c r="R196" s="10">
        <f>$Q196+(-'INPUT1 - Veh Geometry'!$J$73+'INPUT1 - Veh Geometry'!$J$74)</f>
        <v>25</v>
      </c>
      <c r="S196" s="10">
        <f>$Q196+(-'INPUT1 - Veh Geometry'!$J$73+'INPUT1 - Veh Geometry'!$J$75)</f>
        <v>107</v>
      </c>
      <c r="T196" s="7">
        <f t="shared" si="115"/>
        <v>0</v>
      </c>
      <c r="U196" s="48">
        <f>IF(ISNUMBER(K196),L196*K196*(O196-$D$262)/E,)</f>
        <v>7.6</v>
      </c>
      <c r="V196" s="3"/>
      <c r="W196" s="3"/>
      <c r="X196" s="3"/>
      <c r="Y196" s="503">
        <f t="shared" si="99"/>
        <v>7.6</v>
      </c>
      <c r="Z196" s="1" t="s">
        <v>470</v>
      </c>
      <c r="AA196" s="505" t="s">
        <v>731</v>
      </c>
      <c r="AB196" s="504" t="str">
        <f t="shared" si="113"/>
        <v>LAS</v>
      </c>
      <c r="AC196" s="504" t="str">
        <f t="shared" si="94"/>
        <v>TRAIN AR</v>
      </c>
      <c r="AD196" s="504" t="str">
        <f t="shared" si="95"/>
        <v>Carter/Moyeu/roulement</v>
      </c>
      <c r="AE196" s="504" t="str">
        <f t="shared" si="96"/>
        <v>LAS / TRAIN AR  / Carter/Moyeu/roulement</v>
      </c>
      <c r="AF196" s="505"/>
    </row>
    <row r="197" spans="2:38" ht="15" customHeight="1" outlineLevel="1">
      <c r="B197" s="12"/>
      <c r="C197" s="11" t="s">
        <v>732</v>
      </c>
      <c r="D197" s="11"/>
      <c r="E197" s="11"/>
      <c r="F197" s="11"/>
      <c r="G197" s="11"/>
      <c r="H197" s="11"/>
      <c r="I197" s="27"/>
      <c r="K197" s="55" t="s">
        <v>153</v>
      </c>
      <c r="L197" s="58">
        <f>SUMPRODUCT(L198:L204,K198:K204)</f>
        <v>64.399999999999991</v>
      </c>
      <c r="M197" s="202"/>
      <c r="O197" s="55">
        <f>SUMPRODUCT(O198:O198,$L198:$L198,$K198:$K198)/$L197</f>
        <v>-6.1684782608695663</v>
      </c>
      <c r="P197" s="57">
        <f>SUMPRODUCT(P198:P198,$L198:$L198,$K198:$K198)/$L197</f>
        <v>0</v>
      </c>
      <c r="Q197" s="57">
        <f>SUMPRODUCT(Q198:Q198,$L198:$L198,$K198:$K198)/$L197</f>
        <v>110.82111801242236</v>
      </c>
      <c r="R197" s="57">
        <f>SUMPRODUCT(R198:R198,$L198:$L198,$K198:$K198)/$L197</f>
        <v>108.88245341614906</v>
      </c>
      <c r="S197" s="57">
        <f>SUMPRODUCT(S198:S198,$L198:$L198,$K198:$K198)/$L197</f>
        <v>111.17360248447206</v>
      </c>
      <c r="T197" s="57">
        <f>SUMPRODUCT(T198:T204,$K198:$K204)</f>
        <v>62.502064393939399</v>
      </c>
      <c r="U197" s="454">
        <f>SUMPRODUCT(U198:U204,$K198:$K204)</f>
        <v>1.8979356060606061</v>
      </c>
      <c r="V197" s="3"/>
      <c r="W197" s="3"/>
      <c r="X197" s="3"/>
      <c r="Y197" s="503">
        <f t="shared" si="99"/>
        <v>0</v>
      </c>
      <c r="Z197" s="1" t="s">
        <v>470</v>
      </c>
      <c r="AA197" s="504"/>
      <c r="AB197" s="504" t="str">
        <f t="shared" si="113"/>
        <v>LAS</v>
      </c>
      <c r="AC197" s="504" t="str">
        <f t="shared" si="94"/>
        <v>TRAIN AV</v>
      </c>
      <c r="AD197" s="504" t="str">
        <f t="shared" si="95"/>
        <v/>
      </c>
      <c r="AE197" s="504" t="str">
        <f t="shared" si="96"/>
        <v xml:space="preserve">LAS / TRAIN AV  / </v>
      </c>
      <c r="AF197" s="504"/>
      <c r="AH197" t="s">
        <v>639</v>
      </c>
      <c r="AL197" t="s">
        <v>640</v>
      </c>
    </row>
    <row r="198" spans="2:38" ht="15" customHeight="1" outlineLevel="2">
      <c r="B198" s="15"/>
      <c r="C198" s="14"/>
      <c r="D198" s="14" t="s">
        <v>711</v>
      </c>
      <c r="E198" s="14"/>
      <c r="F198" s="14"/>
      <c r="G198" s="14"/>
      <c r="H198" s="14"/>
      <c r="I198" s="28"/>
      <c r="K198" s="42">
        <v>1</v>
      </c>
      <c r="L198" s="106">
        <v>22.7</v>
      </c>
      <c r="M198" s="205">
        <f>'UNSPRUNG Mass estimation'!F44</f>
        <v>0.8</v>
      </c>
      <c r="O198" s="446">
        <f>'INPUT1 - Veh Geometry'!$H$61+25</f>
        <v>-17.5</v>
      </c>
      <c r="P198" s="10">
        <v>0</v>
      </c>
      <c r="Q198" s="10">
        <f>'INPUT1 - Veh Geometry'!$H$81/2+'INPUT1 - Veh Geometry'!H61</f>
        <v>314.39999999999998</v>
      </c>
      <c r="R198" s="10">
        <f>$Q198+(-'INPUT1 - Veh Geometry'!$J$62+'INPUT1 - Veh Geometry'!$J$63)/4</f>
        <v>308.89999999999998</v>
      </c>
      <c r="S198" s="10">
        <f>$Q198+(-'INPUT1 - Veh Geometry'!$J$62+'INPUT1 - Veh Geometry'!$J$64)/4</f>
        <v>315.39999999999998</v>
      </c>
      <c r="T198" s="7">
        <f t="shared" si="115"/>
        <v>22.485037878787878</v>
      </c>
      <c r="U198" s="48">
        <f>IF(ISNUMBER(K198),L198*K198*(O198-$D$262)/E,)</f>
        <v>0.21496212121212122</v>
      </c>
      <c r="V198" s="3"/>
      <c r="W198" s="3"/>
      <c r="X198" s="3"/>
      <c r="Y198" s="503">
        <f t="shared" si="99"/>
        <v>22.7</v>
      </c>
      <c r="Z198" s="1" t="s">
        <v>470</v>
      </c>
      <c r="AA198" s="505" t="s">
        <v>733</v>
      </c>
      <c r="AB198" s="504" t="str">
        <f t="shared" si="113"/>
        <v>LAS</v>
      </c>
      <c r="AC198" s="504" t="str">
        <f t="shared" si="94"/>
        <v>TRAIN AV</v>
      </c>
      <c r="AD198" s="504" t="str">
        <f t="shared" si="95"/>
        <v>AMORTISSEURS</v>
      </c>
      <c r="AE198" s="504" t="str">
        <f t="shared" si="96"/>
        <v>LAS / TRAIN AV  / AMORTISSEURS</v>
      </c>
      <c r="AF198" s="505"/>
    </row>
    <row r="199" spans="2:38" ht="15" customHeight="1" outlineLevel="2">
      <c r="B199" s="15"/>
      <c r="C199" s="14"/>
      <c r="D199" s="14" t="s">
        <v>734</v>
      </c>
      <c r="E199" s="14"/>
      <c r="F199" s="14"/>
      <c r="G199" s="14"/>
      <c r="H199" s="14"/>
      <c r="I199" s="28"/>
      <c r="K199" s="55" t="s">
        <v>153</v>
      </c>
      <c r="L199" s="58">
        <f>SUM(L200:L204)</f>
        <v>41.7</v>
      </c>
      <c r="M199" s="202"/>
      <c r="O199" s="55">
        <f>SUMPRODUCT(O200:O204,$L200:$L204,$K200:$K204)/$L199</f>
        <v>64.04796163069544</v>
      </c>
      <c r="P199" s="57">
        <f>SUMPRODUCT(P200:P204,$L200:$L204,$K200:$K204)/$L199</f>
        <v>0</v>
      </c>
      <c r="Q199" s="57">
        <f>SUMPRODUCT(Q200:Q204,$L200:$L204,$K200:$K204)/$L199</f>
        <v>-6.5251798561151064</v>
      </c>
      <c r="R199" s="57">
        <f>SUMPRODUCT(R200:R204,$L200:$L204,$K200:$K204)/$L199</f>
        <v>-12.196642685851316</v>
      </c>
      <c r="S199" s="57">
        <f>SUMPRODUCT(S200:S204,$L200:$L204,$K200:$K204)/$L199</f>
        <v>-5.4940047961630682</v>
      </c>
      <c r="T199" s="57">
        <f>SUMPRODUCT(T200:T204,K200:K204)</f>
        <v>40.017026515151514</v>
      </c>
      <c r="U199" s="454">
        <f>SUMPRODUCT(U200:U204,K200:K204)</f>
        <v>1.6829734848484847</v>
      </c>
      <c r="V199" s="3"/>
      <c r="W199" s="3"/>
      <c r="X199" s="3"/>
      <c r="Y199" s="503">
        <f t="shared" si="99"/>
        <v>0</v>
      </c>
      <c r="Z199" s="1" t="s">
        <v>470</v>
      </c>
      <c r="AA199" s="504"/>
      <c r="AB199" s="504" t="str">
        <f t="shared" si="113"/>
        <v>LAS</v>
      </c>
      <c r="AC199" s="504" t="str">
        <f t="shared" ref="AC199:AC244" si="132">IF(C199&lt;&gt;0,C199,AC198)</f>
        <v>TRAIN AV</v>
      </c>
      <c r="AD199" s="504" t="str">
        <f t="shared" ref="AD199:AD244" si="133">IF(D199&lt;&gt;"",D199,"")</f>
        <v>Essieu Avant</v>
      </c>
      <c r="AE199" s="504" t="str">
        <f t="shared" ref="AE199:AE244" si="134">CONCATENATE(AB199," / ",AC199,"  / ",AD199)</f>
        <v>LAS / TRAIN AV  / Essieu Avant</v>
      </c>
      <c r="AF199" s="504"/>
      <c r="AH199" t="s">
        <v>639</v>
      </c>
      <c r="AL199" t="s">
        <v>640</v>
      </c>
    </row>
    <row r="200" spans="2:38" ht="15" customHeight="1" outlineLevel="3">
      <c r="B200" s="21"/>
      <c r="C200" s="20"/>
      <c r="D200" s="20" t="s">
        <v>735</v>
      </c>
      <c r="E200" s="20"/>
      <c r="F200" s="20" t="s">
        <v>736</v>
      </c>
      <c r="G200" s="20"/>
      <c r="H200" s="20"/>
      <c r="I200" s="31"/>
      <c r="K200" s="42">
        <v>1</v>
      </c>
      <c r="L200" s="106">
        <v>22.9</v>
      </c>
      <c r="M200" s="205">
        <f>'UNSPRUNG Mass estimation'!F42</f>
        <v>0</v>
      </c>
      <c r="O200" s="446">
        <f>'INPUT1 - Veh Geometry'!$H$108</f>
        <v>112</v>
      </c>
      <c r="P200" s="10">
        <v>0</v>
      </c>
      <c r="Q200" s="10">
        <f>'INPUT1 - Veh Geometry'!$J$108</f>
        <v>-44</v>
      </c>
      <c r="R200" s="10">
        <f>$Q200</f>
        <v>-44</v>
      </c>
      <c r="S200" s="10">
        <f>$Q200</f>
        <v>-44</v>
      </c>
      <c r="T200" s="7">
        <f t="shared" si="115"/>
        <v>21.559829545454544</v>
      </c>
      <c r="U200" s="48">
        <f>IF(ISNUMBER(K200),L200*K200*(O200-$D$262)/E,)</f>
        <v>1.3401704545454545</v>
      </c>
      <c r="V200" s="3"/>
      <c r="W200" s="3"/>
      <c r="X200" s="3"/>
      <c r="Y200" s="503">
        <f t="shared" si="99"/>
        <v>22.9</v>
      </c>
      <c r="Z200" s="1" t="s">
        <v>470</v>
      </c>
      <c r="AA200" s="505" t="s">
        <v>737</v>
      </c>
      <c r="AB200" s="504" t="str">
        <f t="shared" si="113"/>
        <v>LAS</v>
      </c>
      <c r="AC200" s="504" t="str">
        <f t="shared" si="132"/>
        <v>TRAIN AV</v>
      </c>
      <c r="AD200" s="504" t="str">
        <f t="shared" si="133"/>
        <v>Berceau / essieu</v>
      </c>
      <c r="AE200" s="504" t="str">
        <f t="shared" si="134"/>
        <v>LAS / TRAIN AV  / Berceau / essieu</v>
      </c>
      <c r="AF200" s="505"/>
    </row>
    <row r="201" spans="2:38" ht="15" customHeight="1" outlineLevel="3">
      <c r="B201" s="15"/>
      <c r="C201" s="14"/>
      <c r="D201" s="14" t="s">
        <v>738</v>
      </c>
      <c r="E201" s="14"/>
      <c r="F201" s="14" t="s">
        <v>739</v>
      </c>
      <c r="G201" s="14"/>
      <c r="H201" s="14"/>
      <c r="I201" s="28"/>
      <c r="K201" s="42"/>
      <c r="L201" s="106"/>
      <c r="M201" s="202"/>
      <c r="O201" s="446">
        <f>O200-200</f>
        <v>-88</v>
      </c>
      <c r="P201" s="10">
        <v>0</v>
      </c>
      <c r="Q201" s="10">
        <f>'INPUT1 - Veh Geometry'!$J$108</f>
        <v>-44</v>
      </c>
      <c r="R201" s="10">
        <f>$Q201</f>
        <v>-44</v>
      </c>
      <c r="S201" s="10">
        <f>$Q201</f>
        <v>-44</v>
      </c>
      <c r="T201" s="7">
        <f t="shared" si="115"/>
        <v>0</v>
      </c>
      <c r="U201" s="48">
        <f>IF(ISNUMBER(K201),L201*K201*(O201-$D$262)/E,)</f>
        <v>0</v>
      </c>
      <c r="V201" s="3"/>
      <c r="W201" s="3"/>
      <c r="X201" s="3"/>
      <c r="Y201" s="503">
        <f t="shared" si="99"/>
        <v>0</v>
      </c>
      <c r="Z201" s="1" t="s">
        <v>470</v>
      </c>
      <c r="AA201" s="504"/>
      <c r="AB201" s="504" t="str">
        <f t="shared" si="113"/>
        <v>LAS</v>
      </c>
      <c r="AC201" s="504" t="str">
        <f t="shared" si="132"/>
        <v>TRAIN AV</v>
      </c>
      <c r="AD201" s="504" t="str">
        <f t="shared" si="133"/>
        <v>voie d'effort inf</v>
      </c>
      <c r="AE201" s="504" t="str">
        <f t="shared" si="134"/>
        <v>LAS / TRAIN AV  / voie d'effort inf</v>
      </c>
      <c r="AF201" s="504"/>
      <c r="AH201" t="s">
        <v>740</v>
      </c>
      <c r="AL201" t="s">
        <v>741</v>
      </c>
    </row>
    <row r="202" spans="2:38" ht="15" customHeight="1" outlineLevel="3">
      <c r="B202" s="21"/>
      <c r="C202" s="20"/>
      <c r="D202" s="20" t="s">
        <v>719</v>
      </c>
      <c r="E202" s="20"/>
      <c r="F202" s="20" t="s">
        <v>742</v>
      </c>
      <c r="G202" s="20"/>
      <c r="H202" s="20"/>
      <c r="I202" s="31"/>
      <c r="K202" s="42">
        <v>1</v>
      </c>
      <c r="L202" s="106">
        <v>8.1</v>
      </c>
      <c r="M202" s="205">
        <f>'UNSPRUNG Mass estimation'!F43</f>
        <v>0.4</v>
      </c>
      <c r="O202" s="446">
        <f>'INPUT1 - Veh Geometry'!$H$61+50</f>
        <v>7.5</v>
      </c>
      <c r="P202" s="10">
        <v>0</v>
      </c>
      <c r="Q202" s="10">
        <f>'INPUT1 - Veh Geometry'!$J$108</f>
        <v>-44</v>
      </c>
      <c r="R202" s="10">
        <f>$Q202+(-'INPUT1 - Veh Geometry'!$J$62+'INPUT1 - Veh Geometry'!$J$63)/2</f>
        <v>-55</v>
      </c>
      <c r="S202" s="10">
        <f>$Q202+(-'INPUT1 - Veh Geometry'!$J$62+'INPUT1 - Veh Geometry'!$J$64)/2</f>
        <v>-42</v>
      </c>
      <c r="T202" s="7">
        <f t="shared" si="115"/>
        <v>7.9465909090909088</v>
      </c>
      <c r="U202" s="48">
        <f>IF(ISNUMBER(K202),L202*K202*(O202-$D$262)/E,)</f>
        <v>0.15340909090909091</v>
      </c>
      <c r="V202" s="3"/>
      <c r="W202" s="3"/>
      <c r="X202" s="3"/>
      <c r="Y202" s="503">
        <f t="shared" si="99"/>
        <v>8.1</v>
      </c>
      <c r="Z202" s="1" t="s">
        <v>470</v>
      </c>
      <c r="AA202" s="505" t="s">
        <v>743</v>
      </c>
      <c r="AB202" s="504" t="str">
        <f t="shared" si="113"/>
        <v>LAS</v>
      </c>
      <c r="AC202" s="504" t="str">
        <f t="shared" si="132"/>
        <v>TRAIN AV</v>
      </c>
      <c r="AD202" s="504" t="str">
        <f t="shared" si="133"/>
        <v>Système bras de guidage</v>
      </c>
      <c r="AE202" s="504" t="str">
        <f t="shared" si="134"/>
        <v>LAS / TRAIN AV  / Système bras de guidage</v>
      </c>
      <c r="AF202" s="505"/>
      <c r="AH202" t="s">
        <v>744</v>
      </c>
      <c r="AL202" t="s">
        <v>745</v>
      </c>
    </row>
    <row r="203" spans="2:38" ht="15" customHeight="1" outlineLevel="3">
      <c r="B203" s="21"/>
      <c r="C203" s="20"/>
      <c r="D203" s="20" t="s">
        <v>724</v>
      </c>
      <c r="E203" s="20"/>
      <c r="F203" s="20" t="s">
        <v>725</v>
      </c>
      <c r="G203" s="20"/>
      <c r="H203" s="20"/>
      <c r="I203" s="31"/>
      <c r="K203" s="42">
        <v>1</v>
      </c>
      <c r="L203" s="106">
        <v>5</v>
      </c>
      <c r="M203" s="205">
        <f>'UNSPRUNG Mass estimation'!F45</f>
        <v>0.2</v>
      </c>
      <c r="O203" s="446">
        <f>'INPUT1 - Veh Geometry'!$H$61+100</f>
        <v>57.5</v>
      </c>
      <c r="P203" s="10">
        <v>0</v>
      </c>
      <c r="Q203" s="10">
        <f>'INPUT1 - Veh Geometry'!$J$61+75</f>
        <v>142</v>
      </c>
      <c r="R203" s="10">
        <f>$Q203+(-'INPUT1 - Veh Geometry'!$J$62+'INPUT1 - Veh Geometry'!$J$63)/5</f>
        <v>137.6</v>
      </c>
      <c r="S203" s="10">
        <f>$Q203+(-'INPUT1 - Veh Geometry'!$J$62+'INPUT1 - Veh Geometry'!$J$64)/5</f>
        <v>142.80000000000001</v>
      </c>
      <c r="T203" s="7">
        <f t="shared" si="115"/>
        <v>4.8106060606060606</v>
      </c>
      <c r="U203" s="48">
        <f>IF(ISNUMBER(K203),L203*K203*(O203-$D$262)/E,)</f>
        <v>0.18939393939393939</v>
      </c>
      <c r="V203" s="3"/>
      <c r="W203" s="3"/>
      <c r="X203" s="3"/>
      <c r="Y203" s="503">
        <f t="shared" si="99"/>
        <v>5</v>
      </c>
      <c r="Z203" s="1" t="s">
        <v>470</v>
      </c>
      <c r="AA203" s="505" t="s">
        <v>746</v>
      </c>
      <c r="AB203" s="504" t="str">
        <f t="shared" si="113"/>
        <v>LAS</v>
      </c>
      <c r="AC203" s="504" t="str">
        <f t="shared" si="132"/>
        <v>TRAIN AV</v>
      </c>
      <c r="AD203" s="504" t="str">
        <f t="shared" si="133"/>
        <v>Système barre stabilisatrice</v>
      </c>
      <c r="AE203" s="504" t="str">
        <f t="shared" si="134"/>
        <v>LAS / TRAIN AV  / Système barre stabilisatrice</v>
      </c>
      <c r="AF203" s="505"/>
      <c r="AH203" t="s">
        <v>727</v>
      </c>
      <c r="AL203" t="s">
        <v>728</v>
      </c>
    </row>
    <row r="204" spans="2:38" ht="15" customHeight="1" outlineLevel="3">
      <c r="B204" s="21"/>
      <c r="C204" s="20"/>
      <c r="D204" s="20" t="s">
        <v>729</v>
      </c>
      <c r="E204" s="20"/>
      <c r="F204" s="20" t="s">
        <v>730</v>
      </c>
      <c r="G204" s="20"/>
      <c r="H204" s="20"/>
      <c r="I204" s="31"/>
      <c r="K204" s="42">
        <v>1</v>
      </c>
      <c r="L204" s="106">
        <v>5.7</v>
      </c>
      <c r="M204" s="205">
        <f>'UNSPRUNG Mass estimation'!F35</f>
        <v>1</v>
      </c>
      <c r="O204" s="446">
        <f>'INPUT1 - Veh Geometry'!$H$61</f>
        <v>-42.5</v>
      </c>
      <c r="P204" s="10">
        <v>0</v>
      </c>
      <c r="Q204" s="10">
        <f>'INPUT1 - Veh Geometry'!$J$61</f>
        <v>67</v>
      </c>
      <c r="R204" s="10">
        <f>$Q204+(-'INPUT1 - Veh Geometry'!$J$62+'INPUT1 - Veh Geometry'!$J$63)</f>
        <v>45</v>
      </c>
      <c r="S204" s="10">
        <f>$Q204+(-'INPUT1 - Veh Geometry'!$J$62+'INPUT1 - Veh Geometry'!$J$64)</f>
        <v>71</v>
      </c>
      <c r="T204" s="7">
        <f t="shared" si="115"/>
        <v>5.7</v>
      </c>
      <c r="U204" s="48">
        <f>IF(ISNUMBER(K204),L204*K204*(O204-$D$262)/E,)</f>
        <v>0</v>
      </c>
      <c r="V204" s="3"/>
      <c r="W204" s="3"/>
      <c r="X204" s="3"/>
      <c r="Y204" s="503">
        <f t="shared" si="99"/>
        <v>5.7</v>
      </c>
      <c r="Z204" s="1" t="s">
        <v>470</v>
      </c>
      <c r="AA204" s="505" t="s">
        <v>747</v>
      </c>
      <c r="AB204" s="504" t="str">
        <f t="shared" si="113"/>
        <v>LAS</v>
      </c>
      <c r="AC204" s="504" t="str">
        <f t="shared" si="132"/>
        <v>TRAIN AV</v>
      </c>
      <c r="AD204" s="504" t="str">
        <f t="shared" si="133"/>
        <v>Carter/Moyeu/roulement</v>
      </c>
      <c r="AE204" s="504" t="str">
        <f t="shared" si="134"/>
        <v>LAS / TRAIN AV  / Carter/Moyeu/roulement</v>
      </c>
      <c r="AF204" s="505"/>
    </row>
    <row r="205" spans="2:38" ht="15" customHeight="1">
      <c r="B205" s="9" t="s">
        <v>748</v>
      </c>
      <c r="C205" s="8"/>
      <c r="D205" s="8"/>
      <c r="E205" s="8"/>
      <c r="F205" s="8" t="s">
        <v>749</v>
      </c>
      <c r="G205" s="8"/>
      <c r="H205" s="8"/>
      <c r="I205" s="29"/>
      <c r="K205" s="33"/>
      <c r="L205" s="22">
        <f>SUMPRODUCT(K206:K208,L206:L208)</f>
        <v>12.5</v>
      </c>
      <c r="M205" s="203"/>
      <c r="O205" s="33">
        <f t="shared" ref="O205" si="135">SUMPRODUCT($K206:$K208,$L206:$L208,O206:O208)/$L205</f>
        <v>1742.9520000000002</v>
      </c>
      <c r="P205" s="23">
        <f t="shared" ref="P205" si="136">SUMPRODUCT($K206:$K208,$L206:$L208,P206:P208)/$L205</f>
        <v>0</v>
      </c>
      <c r="Q205" s="23">
        <f t="shared" ref="Q205" si="137">SUMPRODUCT($K206:$K208,$L206:$L208,Q206:Q208)/$L205</f>
        <v>290</v>
      </c>
      <c r="R205" s="23">
        <f t="shared" ref="R205" si="138">SUMPRODUCT($K206:$K208,$L206:$L208,R206:R208)/$L205</f>
        <v>290</v>
      </c>
      <c r="S205" s="23">
        <f t="shared" ref="S205" si="139">SUMPRODUCT($K206:$K208,$L206:$L208,S206:S208)/$L205</f>
        <v>290</v>
      </c>
      <c r="T205" s="23">
        <f>SUM(T206:T208)</f>
        <v>4.0461553030303037</v>
      </c>
      <c r="U205" s="50">
        <f>SUMIF($K206:$K208,"&gt;0",$U206:$U208)</f>
        <v>8.4538446969696963</v>
      </c>
      <c r="V205" s="3"/>
      <c r="W205" s="3"/>
      <c r="X205" s="3"/>
      <c r="Y205" s="503">
        <f t="shared" ref="Y205:Y243" si="140">IF(ISNUMBER(K205),L205*K205,0)</f>
        <v>0</v>
      </c>
      <c r="Z205" s="1" t="s">
        <v>345</v>
      </c>
      <c r="AA205" s="504"/>
      <c r="AB205" s="504" t="str">
        <f t="shared" si="113"/>
        <v>MOYENS DE RETENU</v>
      </c>
      <c r="AC205" s="504" t="str">
        <f t="shared" si="132"/>
        <v>TRAIN AV</v>
      </c>
      <c r="AD205" s="504" t="str">
        <f t="shared" si="133"/>
        <v/>
      </c>
      <c r="AE205" s="504" t="str">
        <f t="shared" si="134"/>
        <v xml:space="preserve">MOYENS DE RETENU / TRAIN AV  / </v>
      </c>
      <c r="AF205" s="504"/>
    </row>
    <row r="206" spans="2:38" ht="15" customHeight="1" outlineLevel="1">
      <c r="B206" s="47"/>
      <c r="C206" s="35" t="s">
        <v>750</v>
      </c>
      <c r="D206" s="35"/>
      <c r="E206" s="35"/>
      <c r="F206" s="35" t="s">
        <v>751</v>
      </c>
      <c r="G206" s="35"/>
      <c r="H206" s="35"/>
      <c r="I206" s="102"/>
      <c r="K206" s="42">
        <v>1</v>
      </c>
      <c r="L206" s="106">
        <v>4.4000000000000004</v>
      </c>
      <c r="M206" s="202"/>
      <c r="O206" s="446">
        <f>('INPUT1 - Veh Geometry'!H42*3+'INPUT1 - Veh Geometry'!H49)/4</f>
        <v>1533</v>
      </c>
      <c r="P206" s="10">
        <v>0</v>
      </c>
      <c r="Q206" s="10">
        <f>'INPUT1 - Veh Geometry'!$J$43+200</f>
        <v>290</v>
      </c>
      <c r="R206" s="10">
        <f t="shared" ref="R206:S208" si="141">$Q206</f>
        <v>290</v>
      </c>
      <c r="S206" s="10">
        <f t="shared" si="141"/>
        <v>290</v>
      </c>
      <c r="T206" s="7">
        <f t="shared" si="115"/>
        <v>1.7741666666666669</v>
      </c>
      <c r="U206" s="48">
        <f>IF(ISNUMBER(K206),L206*K206*(O206-$D$262)/E,)</f>
        <v>2.6258333333333335</v>
      </c>
      <c r="V206" s="3"/>
      <c r="W206" s="3"/>
      <c r="X206" s="3"/>
      <c r="Y206" s="503">
        <f t="shared" si="140"/>
        <v>4.4000000000000004</v>
      </c>
      <c r="Z206" s="1" t="s">
        <v>345</v>
      </c>
      <c r="AA206" s="504"/>
      <c r="AB206" s="504" t="str">
        <f t="shared" si="113"/>
        <v>MOYENS DE RETENU</v>
      </c>
      <c r="AC206" s="504" t="str">
        <f t="shared" si="132"/>
        <v>AIRBAGS</v>
      </c>
      <c r="AD206" s="504" t="str">
        <f t="shared" si="133"/>
        <v/>
      </c>
      <c r="AE206" s="504" t="str">
        <f t="shared" si="134"/>
        <v xml:space="preserve">MOYENS DE RETENU / AIRBAGS  / </v>
      </c>
      <c r="AF206" s="504"/>
      <c r="AH206" t="s">
        <v>752</v>
      </c>
      <c r="AL206" t="s">
        <v>661</v>
      </c>
    </row>
    <row r="207" spans="2:38" ht="15" customHeight="1" outlineLevel="1">
      <c r="B207" s="47"/>
      <c r="C207" s="35" t="s">
        <v>753</v>
      </c>
      <c r="D207" s="35"/>
      <c r="E207" s="35"/>
      <c r="F207" s="35" t="s">
        <v>754</v>
      </c>
      <c r="G207" s="35"/>
      <c r="H207" s="35"/>
      <c r="I207" s="102"/>
      <c r="K207" s="42">
        <v>1</v>
      </c>
      <c r="L207" s="106">
        <v>8.1</v>
      </c>
      <c r="M207" s="202"/>
      <c r="O207" s="446">
        <f>('INPUT1 - Veh Geometry'!$H$42+100+'INPUT1 - Veh Geometry'!$H$49+150)/2</f>
        <v>1857</v>
      </c>
      <c r="P207" s="10">
        <v>0</v>
      </c>
      <c r="Q207" s="10">
        <f>'INPUT1 - Veh Geometry'!$J$43+200</f>
        <v>290</v>
      </c>
      <c r="R207" s="10">
        <f t="shared" si="141"/>
        <v>290</v>
      </c>
      <c r="S207" s="10">
        <f t="shared" si="141"/>
        <v>290</v>
      </c>
      <c r="T207" s="7">
        <f t="shared" ref="T207" si="142">L207*K207-U207</f>
        <v>2.2719886363636368</v>
      </c>
      <c r="U207" s="48">
        <f>IF(ISNUMBER(K207),L207*K207*(O207-$D$262)/E,)</f>
        <v>5.8280113636363629</v>
      </c>
      <c r="V207" s="3"/>
      <c r="W207" s="3"/>
      <c r="X207" s="3"/>
      <c r="Y207" s="503">
        <f t="shared" ref="Y207" si="143">IF(ISNUMBER(K207),L207*K207,0)</f>
        <v>8.1</v>
      </c>
      <c r="Z207" s="1" t="s">
        <v>345</v>
      </c>
      <c r="AA207" s="504"/>
      <c r="AB207" s="504" t="str">
        <f t="shared" si="113"/>
        <v>MOYENS DE RETENU</v>
      </c>
      <c r="AC207" s="504" t="str">
        <f t="shared" si="132"/>
        <v>CEINTURES DE SECURITE</v>
      </c>
      <c r="AD207" s="504" t="str">
        <f t="shared" si="133"/>
        <v/>
      </c>
      <c r="AE207" s="504" t="str">
        <f t="shared" si="134"/>
        <v xml:space="preserve">MOYENS DE RETENU / CEINTURES DE SECURITE  / </v>
      </c>
      <c r="AF207" s="504"/>
      <c r="AH207" t="s">
        <v>752</v>
      </c>
      <c r="AL207" t="s">
        <v>661</v>
      </c>
    </row>
    <row r="208" spans="2:38" ht="15" customHeight="1" outlineLevel="1">
      <c r="B208" s="47"/>
      <c r="C208" s="35" t="s">
        <v>755</v>
      </c>
      <c r="D208" s="35"/>
      <c r="E208" s="35"/>
      <c r="F208" s="35"/>
      <c r="G208" s="35"/>
      <c r="H208" s="35"/>
      <c r="I208" s="102"/>
      <c r="K208" s="42"/>
      <c r="L208" s="106"/>
      <c r="M208" s="202"/>
      <c r="O208" s="446">
        <f>'INPUT1 - Veh Geometry'!H127</f>
        <v>-129</v>
      </c>
      <c r="P208" s="10">
        <f>'INPUT1 - Veh Geometry'!I127</f>
        <v>-5</v>
      </c>
      <c r="Q208" s="10">
        <f>'INPUT1 - Veh Geometry'!J127</f>
        <v>720</v>
      </c>
      <c r="R208" s="10">
        <f t="shared" si="141"/>
        <v>720</v>
      </c>
      <c r="S208" s="10">
        <f t="shared" si="141"/>
        <v>720</v>
      </c>
      <c r="T208" s="7">
        <f t="shared" si="115"/>
        <v>0</v>
      </c>
      <c r="U208" s="48">
        <f>IF(ISNUMBER(K208),L208*K208*(O208-$D$262)/E,)</f>
        <v>0</v>
      </c>
      <c r="V208" s="3"/>
      <c r="W208" s="3"/>
      <c r="X208" s="3"/>
      <c r="Y208" s="503">
        <f t="shared" si="140"/>
        <v>0</v>
      </c>
      <c r="Z208" s="1" t="s">
        <v>345</v>
      </c>
      <c r="AA208" s="504"/>
      <c r="AB208" s="504" t="str">
        <f t="shared" si="113"/>
        <v>MOYENS DE RETENU</v>
      </c>
      <c r="AC208" s="504" t="str">
        <f t="shared" si="132"/>
        <v>CAPOT ACTIF</v>
      </c>
      <c r="AD208" s="504" t="str">
        <f t="shared" si="133"/>
        <v/>
      </c>
      <c r="AE208" s="504" t="str">
        <f t="shared" si="134"/>
        <v xml:space="preserve">MOYENS DE RETENU / CAPOT ACTIF  / </v>
      </c>
      <c r="AF208" s="504"/>
      <c r="AH208" t="s">
        <v>752</v>
      </c>
      <c r="AL208" t="s">
        <v>661</v>
      </c>
    </row>
    <row r="209" spans="2:38" ht="15" customHeight="1">
      <c r="B209" s="9" t="s">
        <v>756</v>
      </c>
      <c r="C209" s="8"/>
      <c r="D209" s="8"/>
      <c r="E209" s="8"/>
      <c r="F209" s="8" t="s">
        <v>757</v>
      </c>
      <c r="G209" s="8"/>
      <c r="H209" s="8"/>
      <c r="I209" s="29"/>
      <c r="K209" s="33"/>
      <c r="L209" s="22">
        <f>SUMPRODUCT(K210,L210)</f>
        <v>13.5</v>
      </c>
      <c r="M209" s="203"/>
      <c r="O209" s="33">
        <f>SUMPRODUCT($K210:$K210,$L210:$L210,O210:O210)/$L209</f>
        <v>560.6</v>
      </c>
      <c r="P209" s="23">
        <f t="shared" ref="P209:S209" si="144">SUMPRODUCT($K210:$K210,$L210:$L210,P210:P210)/$L209</f>
        <v>0</v>
      </c>
      <c r="Q209" s="23">
        <f t="shared" si="144"/>
        <v>956.90000000000009</v>
      </c>
      <c r="R209" s="23">
        <f t="shared" si="144"/>
        <v>956.90000000000009</v>
      </c>
      <c r="S209" s="23">
        <f t="shared" si="144"/>
        <v>956.90000000000009</v>
      </c>
      <c r="T209" s="22">
        <f>SUM(T210:T210)</f>
        <v>10.415965909090909</v>
      </c>
      <c r="U209" s="32">
        <f>SUMIF($K210:$K210,"&gt;0",$U210:$U210)</f>
        <v>3.0840340909090909</v>
      </c>
      <c r="V209" s="3"/>
      <c r="W209" s="3"/>
      <c r="X209" s="3"/>
      <c r="Y209" s="503">
        <f t="shared" si="140"/>
        <v>0</v>
      </c>
      <c r="Z209" s="1" t="s">
        <v>334</v>
      </c>
      <c r="AA209" s="504"/>
      <c r="AB209" s="504" t="str">
        <f t="shared" si="113"/>
        <v>PARE BRISE</v>
      </c>
      <c r="AC209" s="504" t="str">
        <f t="shared" si="132"/>
        <v>CAPOT ACTIF</v>
      </c>
      <c r="AD209" s="504" t="str">
        <f t="shared" si="133"/>
        <v/>
      </c>
      <c r="AE209" s="504" t="str">
        <f t="shared" si="134"/>
        <v xml:space="preserve">PARE BRISE / CAPOT ACTIF  / </v>
      </c>
      <c r="AF209" s="504"/>
    </row>
    <row r="210" spans="2:38" ht="15" customHeight="1" outlineLevel="1">
      <c r="B210" s="47"/>
      <c r="C210" s="35" t="s">
        <v>758</v>
      </c>
      <c r="D210" s="35"/>
      <c r="E210" s="35"/>
      <c r="F210" s="35" t="s">
        <v>757</v>
      </c>
      <c r="G210" s="35"/>
      <c r="H210" s="35"/>
      <c r="I210" s="102"/>
      <c r="K210" s="42">
        <v>1</v>
      </c>
      <c r="L210" s="106">
        <v>13.5</v>
      </c>
      <c r="M210" s="202"/>
      <c r="O210" s="446">
        <f>('INPUT1 - Veh Geometry'!H45+'INPUT1 - Veh Geometry'!H46)/2-150</f>
        <v>560.6</v>
      </c>
      <c r="P210" s="10">
        <v>0</v>
      </c>
      <c r="Q210" s="10">
        <f>('INPUT1 - Veh Geometry'!$J$46+'INPUT1 - Veh Geometry'!$J$34+('INPUT1 - Veh Geometry'!$J$62+'INPUT1 - Veh Geometry'!$J$73)/2)/2</f>
        <v>956.90000000000009</v>
      </c>
      <c r="R210" s="10">
        <f t="shared" ref="R210:S210" si="145">$Q210</f>
        <v>956.90000000000009</v>
      </c>
      <c r="S210" s="10">
        <f t="shared" si="145"/>
        <v>956.90000000000009</v>
      </c>
      <c r="T210" s="7">
        <f t="shared" si="115"/>
        <v>10.415965909090909</v>
      </c>
      <c r="U210" s="48">
        <f>IF(ISNUMBER(K210),L210*K210*(O210-$D$262)/E,)</f>
        <v>3.0840340909090909</v>
      </c>
      <c r="V210" s="3"/>
      <c r="W210" s="3"/>
      <c r="X210" s="3"/>
      <c r="Y210" s="503">
        <f t="shared" si="140"/>
        <v>13.5</v>
      </c>
      <c r="Z210" s="1" t="s">
        <v>334</v>
      </c>
      <c r="AA210" s="504"/>
      <c r="AB210" s="504" t="str">
        <f t="shared" si="113"/>
        <v>PARE BRISE</v>
      </c>
      <c r="AC210" s="504" t="str">
        <f t="shared" si="132"/>
        <v>Pare Brise</v>
      </c>
      <c r="AD210" s="504" t="str">
        <f t="shared" si="133"/>
        <v/>
      </c>
      <c r="AE210" s="504" t="str">
        <f t="shared" si="134"/>
        <v xml:space="preserve">PARE BRISE / Pare Brise  / </v>
      </c>
      <c r="AF210" s="504"/>
      <c r="AH210" t="s">
        <v>759</v>
      </c>
      <c r="AL210" t="s">
        <v>661</v>
      </c>
    </row>
    <row r="211" spans="2:38" ht="15" customHeight="1">
      <c r="B211" s="9" t="s">
        <v>760</v>
      </c>
      <c r="C211" s="8"/>
      <c r="D211" s="8"/>
      <c r="E211" s="8"/>
      <c r="F211" s="8" t="s">
        <v>761</v>
      </c>
      <c r="G211" s="8"/>
      <c r="H211" s="8"/>
      <c r="I211" s="29"/>
      <c r="K211" s="33"/>
      <c r="L211" s="22">
        <f>SUMPRODUCT(L212:L214,K212:K214)</f>
        <v>24</v>
      </c>
      <c r="M211" s="203"/>
      <c r="O211" s="33">
        <f>SUMPRODUCT($L212:$L214,O212:O214,$K212:$K214)/$L211</f>
        <v>503.11666666666673</v>
      </c>
      <c r="P211" s="23">
        <f t="shared" ref="P211" si="146">SUMPRODUCT($L212:$L214,P212:P214,$K212:$K214)/$L211</f>
        <v>123.22916666666667</v>
      </c>
      <c r="Q211" s="23">
        <f t="shared" ref="Q211" si="147">SUMPRODUCT($L212:$L214,Q212:Q214,$K212:$K214)/$L211</f>
        <v>681.8</v>
      </c>
      <c r="R211" s="23">
        <f t="shared" ref="R211" si="148">SUMPRODUCT($L212:$L214,R212:R214,$K212:$K214)/$L211</f>
        <v>681.8</v>
      </c>
      <c r="S211" s="23">
        <f t="shared" ref="S211" si="149">SUMPRODUCT($L212:$L214,S212:S214,$K212:$K214)/$L211</f>
        <v>681.8</v>
      </c>
      <c r="T211" s="22">
        <f>SUM(T212:T214)</f>
        <v>19.039848484848484</v>
      </c>
      <c r="U211" s="32">
        <f>SUMIF($K212:$K214,"&gt;0",$U212:$U214)</f>
        <v>4.9601515151515159</v>
      </c>
      <c r="V211" s="3"/>
      <c r="W211" s="3"/>
      <c r="X211" s="3"/>
      <c r="Y211" s="503">
        <f t="shared" si="140"/>
        <v>0</v>
      </c>
      <c r="Z211" s="1" t="s">
        <v>345</v>
      </c>
      <c r="AA211" s="504"/>
      <c r="AB211" s="504" t="str">
        <f t="shared" si="113"/>
        <v>PLANCHE DE BORD</v>
      </c>
      <c r="AC211" s="504" t="str">
        <f t="shared" si="132"/>
        <v>Pare Brise</v>
      </c>
      <c r="AD211" s="504" t="str">
        <f t="shared" si="133"/>
        <v/>
      </c>
      <c r="AE211" s="504" t="str">
        <f t="shared" si="134"/>
        <v xml:space="preserve">PLANCHE DE BORD / Pare Brise  / </v>
      </c>
      <c r="AF211" s="504"/>
    </row>
    <row r="212" spans="2:38" ht="15" customHeight="1" outlineLevel="1">
      <c r="B212" s="47"/>
      <c r="C212" s="35" t="s">
        <v>762</v>
      </c>
      <c r="D212" s="35"/>
      <c r="E212" s="35"/>
      <c r="F212" s="35" t="s">
        <v>761</v>
      </c>
      <c r="G212" s="35"/>
      <c r="H212" s="35"/>
      <c r="I212" s="102"/>
      <c r="K212" s="42">
        <v>1</v>
      </c>
      <c r="L212" s="106">
        <v>17.3</v>
      </c>
      <c r="M212" s="202"/>
      <c r="O212" s="446">
        <f>'INPUT1 - Veh Geometry'!$H$46</f>
        <v>475.2</v>
      </c>
      <c r="P212" s="10">
        <v>200</v>
      </c>
      <c r="Q212" s="10">
        <f>'INPUT1 - Veh Geometry'!$J$46+150</f>
        <v>681.8</v>
      </c>
      <c r="R212" s="10">
        <f t="shared" ref="R212:S214" si="150">$Q212</f>
        <v>681.8</v>
      </c>
      <c r="S212" s="10">
        <f t="shared" si="150"/>
        <v>681.8</v>
      </c>
      <c r="T212" s="7">
        <f t="shared" si="115"/>
        <v>13.907496212121213</v>
      </c>
      <c r="U212" s="48">
        <f>IF(ISNUMBER(K212),L212*K212*(O212-$D$262)/E,)</f>
        <v>3.392503787878788</v>
      </c>
      <c r="V212" s="3"/>
      <c r="W212" s="3"/>
      <c r="X212" s="3"/>
      <c r="Y212" s="503">
        <f t="shared" si="140"/>
        <v>17.3</v>
      </c>
      <c r="Z212" s="1" t="s">
        <v>345</v>
      </c>
      <c r="AA212" s="504"/>
      <c r="AB212" s="504" t="str">
        <f t="shared" si="113"/>
        <v>PLANCHE DE BORD</v>
      </c>
      <c r="AC212" s="504" t="str">
        <f t="shared" si="132"/>
        <v>CORPS PDB</v>
      </c>
      <c r="AD212" s="504" t="str">
        <f t="shared" si="133"/>
        <v/>
      </c>
      <c r="AE212" s="504" t="str">
        <f t="shared" si="134"/>
        <v xml:space="preserve">PLANCHE DE BORD / CORPS PDB  / </v>
      </c>
      <c r="AF212" s="504"/>
      <c r="AH212" t="s">
        <v>686</v>
      </c>
      <c r="AL212" t="s">
        <v>687</v>
      </c>
    </row>
    <row r="213" spans="2:38" ht="15" customHeight="1" outlineLevel="1">
      <c r="B213" s="47"/>
      <c r="C213" s="35" t="s">
        <v>763</v>
      </c>
      <c r="D213" s="35"/>
      <c r="E213" s="35"/>
      <c r="F213" s="35" t="s">
        <v>764</v>
      </c>
      <c r="G213" s="35"/>
      <c r="H213" s="35"/>
      <c r="I213" s="102"/>
      <c r="K213" s="42"/>
      <c r="L213" s="106">
        <v>0</v>
      </c>
      <c r="M213" s="202"/>
      <c r="O213" s="446">
        <f>'INPUT1 - Veh Geometry'!$H$46+100</f>
        <v>575.20000000000005</v>
      </c>
      <c r="P213" s="10">
        <v>0</v>
      </c>
      <c r="Q213" s="10">
        <f>'INPUT1 - Veh Geometry'!$J$46+150</f>
        <v>681.8</v>
      </c>
      <c r="R213" s="10">
        <f t="shared" si="150"/>
        <v>681.8</v>
      </c>
      <c r="S213" s="10">
        <f t="shared" si="150"/>
        <v>681.8</v>
      </c>
      <c r="T213" s="7">
        <f t="shared" si="115"/>
        <v>0</v>
      </c>
      <c r="U213" s="48">
        <f>IF(ISNUMBER(K213),L213*K213*(O213-$D$262)/E,)</f>
        <v>0</v>
      </c>
      <c r="V213" s="3"/>
      <c r="W213" s="3"/>
      <c r="X213" s="3"/>
      <c r="Y213" s="503">
        <f t="shared" si="140"/>
        <v>0</v>
      </c>
      <c r="Z213" s="1" t="s">
        <v>365</v>
      </c>
      <c r="AA213" s="504"/>
      <c r="AB213" s="504" t="str">
        <f t="shared" si="113"/>
        <v>PLANCHE DE BORD</v>
      </c>
      <c r="AC213" s="504" t="str">
        <f t="shared" si="132"/>
        <v>EE PDB</v>
      </c>
      <c r="AD213" s="504" t="str">
        <f t="shared" si="133"/>
        <v/>
      </c>
      <c r="AE213" s="504" t="str">
        <f t="shared" si="134"/>
        <v xml:space="preserve">PLANCHE DE BORD / EE PDB  / </v>
      </c>
      <c r="AF213" s="504"/>
      <c r="AH213" t="s">
        <v>765</v>
      </c>
      <c r="AL213" t="s">
        <v>766</v>
      </c>
    </row>
    <row r="214" spans="2:38" ht="15" customHeight="1" outlineLevel="1">
      <c r="B214" s="47"/>
      <c r="C214" s="35" t="s">
        <v>767</v>
      </c>
      <c r="D214" s="35"/>
      <c r="E214" s="35"/>
      <c r="F214" s="35" t="s">
        <v>768</v>
      </c>
      <c r="G214" s="35"/>
      <c r="H214" s="35"/>
      <c r="I214" s="102"/>
      <c r="K214" s="42">
        <v>1</v>
      </c>
      <c r="L214" s="106">
        <v>6.7</v>
      </c>
      <c r="M214" s="202"/>
      <c r="O214" s="446">
        <f>'INPUT1 - Veh Geometry'!$H$46+100</f>
        <v>575.20000000000005</v>
      </c>
      <c r="P214" s="10">
        <v>-75</v>
      </c>
      <c r="Q214" s="10">
        <f>'INPUT1 - Veh Geometry'!$J$46+150</f>
        <v>681.8</v>
      </c>
      <c r="R214" s="10">
        <f t="shared" si="150"/>
        <v>681.8</v>
      </c>
      <c r="S214" s="10">
        <f t="shared" si="150"/>
        <v>681.8</v>
      </c>
      <c r="T214" s="7">
        <f t="shared" si="115"/>
        <v>5.1323522727272728</v>
      </c>
      <c r="U214" s="48">
        <f>IF(ISNUMBER(K214),L214*K214*(O214-$D$262)/E,)</f>
        <v>1.5676477272727274</v>
      </c>
      <c r="V214" s="3"/>
      <c r="W214" s="3"/>
      <c r="X214" s="3"/>
      <c r="Y214" s="503">
        <f t="shared" si="140"/>
        <v>6.7</v>
      </c>
      <c r="Z214" s="1" t="s">
        <v>345</v>
      </c>
      <c r="AA214" s="504"/>
      <c r="AB214" s="504" t="str">
        <f t="shared" si="113"/>
        <v>PLANCHE DE BORD</v>
      </c>
      <c r="AC214" s="504" t="str">
        <f t="shared" si="132"/>
        <v>TRAVERSE PDB</v>
      </c>
      <c r="AD214" s="504" t="str">
        <f t="shared" si="133"/>
        <v/>
      </c>
      <c r="AE214" s="504" t="str">
        <f t="shared" si="134"/>
        <v xml:space="preserve">PLANCHE DE BORD / TRAVERSE PDB  / </v>
      </c>
      <c r="AF214" s="504"/>
      <c r="AH214" t="s">
        <v>759</v>
      </c>
      <c r="AL214" t="s">
        <v>769</v>
      </c>
    </row>
    <row r="215" spans="2:38" ht="15" customHeight="1">
      <c r="B215" s="9" t="s">
        <v>770</v>
      </c>
      <c r="C215" s="8"/>
      <c r="D215" s="8"/>
      <c r="E215" s="8"/>
      <c r="F215" s="8" t="s">
        <v>771</v>
      </c>
      <c r="G215" s="8"/>
      <c r="H215" s="8"/>
      <c r="I215" s="29"/>
      <c r="K215" s="33"/>
      <c r="L215" s="22">
        <f>SUMPRODUCT(L216:L219,K216:K219)</f>
        <v>52</v>
      </c>
      <c r="M215" s="203"/>
      <c r="O215" s="33">
        <f>SUMPRODUCT($L216:$L219,O216:O219,$K216:$K219)/$L215</f>
        <v>1826</v>
      </c>
      <c r="P215" s="23">
        <f>SUMPRODUCT($L216:$L219,P216:P219,$K216:$K219)/$L215</f>
        <v>0</v>
      </c>
      <c r="Q215" s="23">
        <f>SUMPRODUCT($L216:$L219,Q216:Q219,$K216:$K219)/$L215</f>
        <v>622</v>
      </c>
      <c r="R215" s="23">
        <f>SUMPRODUCT($L216:$L219,R216:R219,$K216:$K219)/$L215</f>
        <v>622</v>
      </c>
      <c r="S215" s="23">
        <f>SUMPRODUCT($L216:$L219,S216:S219,$K216:$K219)/$L215</f>
        <v>622</v>
      </c>
      <c r="T215" s="22">
        <f>SUM(T216:T219)</f>
        <v>15.19621212121212</v>
      </c>
      <c r="U215" s="32">
        <f>SUMIF($K216:$K219,"&gt;0",$U216:$U219)</f>
        <v>36.80378787878788</v>
      </c>
      <c r="V215" s="3"/>
      <c r="W215" s="3"/>
      <c r="X215" s="3"/>
      <c r="Y215" s="503">
        <f t="shared" si="140"/>
        <v>0</v>
      </c>
      <c r="Z215" s="1" t="s">
        <v>334</v>
      </c>
      <c r="AA215" s="504"/>
      <c r="AB215" s="504" t="str">
        <f t="shared" si="113"/>
        <v>PORTES AR</v>
      </c>
      <c r="AC215" s="504" t="str">
        <f t="shared" si="132"/>
        <v>TRAVERSE PDB</v>
      </c>
      <c r="AD215" s="504" t="str">
        <f t="shared" si="133"/>
        <v/>
      </c>
      <c r="AE215" s="504" t="str">
        <f t="shared" si="134"/>
        <v xml:space="preserve">PORTES AR / TRAVERSE PDB  / </v>
      </c>
      <c r="AF215" s="504"/>
    </row>
    <row r="216" spans="2:38" ht="15" customHeight="1" outlineLevel="1">
      <c r="B216" s="47"/>
      <c r="C216" s="35" t="s">
        <v>772</v>
      </c>
      <c r="D216" s="35"/>
      <c r="E216" s="35"/>
      <c r="F216" s="35" t="s">
        <v>773</v>
      </c>
      <c r="G216" s="35"/>
      <c r="H216" s="35"/>
      <c r="I216" s="102"/>
      <c r="K216" s="42">
        <v>1</v>
      </c>
      <c r="L216" s="106">
        <v>20</v>
      </c>
      <c r="M216" s="202"/>
      <c r="O216" s="446">
        <f>'INPUT1 - Veh Geometry'!$H$120</f>
        <v>1826</v>
      </c>
      <c r="P216" s="10">
        <f>'INPUT1 - Veh Geometry'!I$120</f>
        <v>0</v>
      </c>
      <c r="Q216" s="10">
        <f>'INPUT1 - Veh Geometry'!J$120</f>
        <v>622</v>
      </c>
      <c r="R216" s="10">
        <f t="shared" ref="R216:S219" si="151">$Q216</f>
        <v>622</v>
      </c>
      <c r="S216" s="10">
        <f t="shared" si="151"/>
        <v>622</v>
      </c>
      <c r="T216" s="7">
        <f t="shared" si="115"/>
        <v>5.8446969696969688</v>
      </c>
      <c r="U216" s="48">
        <f>IF(ISNUMBER(K216),L216*K216*(O216-$D$262)/E,)</f>
        <v>14.155303030303031</v>
      </c>
      <c r="V216" s="3"/>
      <c r="W216" s="3"/>
      <c r="X216" s="3"/>
      <c r="Y216" s="503">
        <f t="shared" si="140"/>
        <v>20</v>
      </c>
      <c r="Z216" s="1" t="s">
        <v>334</v>
      </c>
      <c r="AA216" s="504"/>
      <c r="AB216" s="504" t="str">
        <f t="shared" si="113"/>
        <v>PORTES AR</v>
      </c>
      <c r="AC216" s="504" t="str">
        <f t="shared" si="132"/>
        <v>EQUIPEMENT PORTE AR</v>
      </c>
      <c r="AD216" s="504" t="str">
        <f t="shared" si="133"/>
        <v/>
      </c>
      <c r="AE216" s="504" t="str">
        <f t="shared" si="134"/>
        <v xml:space="preserve">PORTES AR / EQUIPEMENT PORTE AR  / </v>
      </c>
      <c r="AF216" s="504"/>
      <c r="AH216" t="s">
        <v>759</v>
      </c>
      <c r="AL216" t="s">
        <v>774</v>
      </c>
    </row>
    <row r="217" spans="2:38" ht="15" customHeight="1" outlineLevel="1">
      <c r="B217" s="47"/>
      <c r="C217" s="35" t="s">
        <v>775</v>
      </c>
      <c r="D217" s="35"/>
      <c r="E217" s="35"/>
      <c r="F217" s="35" t="s">
        <v>776</v>
      </c>
      <c r="G217" s="35"/>
      <c r="H217" s="35"/>
      <c r="I217" s="102"/>
      <c r="K217" s="42">
        <v>1</v>
      </c>
      <c r="L217" s="106">
        <v>27</v>
      </c>
      <c r="M217" s="202"/>
      <c r="O217" s="446">
        <f>'INPUT1 - Veh Geometry'!$H$120</f>
        <v>1826</v>
      </c>
      <c r="P217" s="10">
        <f>'INPUT1 - Veh Geometry'!I$120</f>
        <v>0</v>
      </c>
      <c r="Q217" s="10">
        <f>'INPUT1 - Veh Geometry'!J$120</f>
        <v>622</v>
      </c>
      <c r="R217" s="10">
        <f t="shared" si="151"/>
        <v>622</v>
      </c>
      <c r="S217" s="10">
        <f t="shared" si="151"/>
        <v>622</v>
      </c>
      <c r="T217" s="7">
        <f t="shared" si="115"/>
        <v>7.8903409090909093</v>
      </c>
      <c r="U217" s="48">
        <f>IF(ISNUMBER(K217),L217*K217*(O217-$D$262)/E,)</f>
        <v>19.109659090909091</v>
      </c>
      <c r="V217" s="3"/>
      <c r="W217" s="3"/>
      <c r="X217" s="3"/>
      <c r="Y217" s="503">
        <f t="shared" si="140"/>
        <v>27</v>
      </c>
      <c r="Z217" s="1" t="s">
        <v>334</v>
      </c>
      <c r="AA217" s="504"/>
      <c r="AB217" s="504" t="str">
        <f t="shared" si="113"/>
        <v>PORTES AR</v>
      </c>
      <c r="AC217" s="504" t="str">
        <f t="shared" si="132"/>
        <v>Tolerie Portes AR</v>
      </c>
      <c r="AD217" s="504" t="str">
        <f t="shared" si="133"/>
        <v/>
      </c>
      <c r="AE217" s="504" t="str">
        <f t="shared" si="134"/>
        <v xml:space="preserve">PORTES AR / Tolerie Portes AR  / </v>
      </c>
      <c r="AF217" s="504"/>
      <c r="AH217" t="s">
        <v>686</v>
      </c>
      <c r="AL217" t="s">
        <v>687</v>
      </c>
    </row>
    <row r="218" spans="2:38" ht="15" customHeight="1" outlineLevel="1">
      <c r="B218" s="47"/>
      <c r="C218" s="35" t="s">
        <v>777</v>
      </c>
      <c r="D218" s="35"/>
      <c r="E218" s="35"/>
      <c r="F218" s="35" t="s">
        <v>778</v>
      </c>
      <c r="G218" s="35"/>
      <c r="H218" s="35"/>
      <c r="I218" s="102"/>
      <c r="K218" s="42">
        <v>1</v>
      </c>
      <c r="L218" s="106">
        <v>5</v>
      </c>
      <c r="M218" s="202"/>
      <c r="O218" s="446">
        <f>'INPUT1 - Veh Geometry'!$H$120</f>
        <v>1826</v>
      </c>
      <c r="P218" s="10">
        <f>'INPUT1 - Veh Geometry'!I$120</f>
        <v>0</v>
      </c>
      <c r="Q218" s="10">
        <f>'INPUT1 - Veh Geometry'!J$120</f>
        <v>622</v>
      </c>
      <c r="R218" s="10">
        <f t="shared" si="151"/>
        <v>622</v>
      </c>
      <c r="S218" s="10">
        <f t="shared" si="151"/>
        <v>622</v>
      </c>
      <c r="T218" s="7">
        <f t="shared" si="115"/>
        <v>1.4611742424242422</v>
      </c>
      <c r="U218" s="48">
        <f>IF(ISNUMBER(K218),L218*K218*(O218-$D$262)/E,)</f>
        <v>3.5388257575757578</v>
      </c>
      <c r="V218" s="3"/>
      <c r="W218" s="3"/>
      <c r="X218" s="3"/>
      <c r="Y218" s="503">
        <f t="shared" si="140"/>
        <v>5</v>
      </c>
      <c r="Z218" s="1" t="s">
        <v>334</v>
      </c>
      <c r="AA218" s="504"/>
      <c r="AB218" s="504" t="str">
        <f t="shared" si="113"/>
        <v>PORTES AR</v>
      </c>
      <c r="AC218" s="504" t="str">
        <f t="shared" si="132"/>
        <v>Vitrage Porte AR</v>
      </c>
      <c r="AD218" s="504" t="str">
        <f t="shared" si="133"/>
        <v/>
      </c>
      <c r="AE218" s="504" t="str">
        <f t="shared" si="134"/>
        <v xml:space="preserve">PORTES AR / Vitrage Porte AR  / </v>
      </c>
      <c r="AF218" s="504"/>
      <c r="AH218" t="s">
        <v>686</v>
      </c>
      <c r="AL218" t="s">
        <v>687</v>
      </c>
    </row>
    <row r="219" spans="2:38" ht="15" customHeight="1" outlineLevel="1">
      <c r="B219" s="47"/>
      <c r="C219" s="35" t="s">
        <v>779</v>
      </c>
      <c r="D219" s="35"/>
      <c r="E219" s="35"/>
      <c r="F219" s="35" t="s">
        <v>780</v>
      </c>
      <c r="G219" s="35"/>
      <c r="H219" s="35"/>
      <c r="I219" s="102"/>
      <c r="K219" s="42">
        <v>1</v>
      </c>
      <c r="L219" s="106">
        <v>0</v>
      </c>
      <c r="M219" s="202"/>
      <c r="O219" s="446">
        <f>'INPUT1 - Veh Geometry'!$H$120</f>
        <v>1826</v>
      </c>
      <c r="P219" s="10">
        <f>'INPUT1 - Veh Geometry'!I$120</f>
        <v>0</v>
      </c>
      <c r="Q219" s="10">
        <f>'INPUT1 - Veh Geometry'!J$120</f>
        <v>622</v>
      </c>
      <c r="R219" s="10">
        <f t="shared" si="151"/>
        <v>622</v>
      </c>
      <c r="S219" s="10">
        <f t="shared" si="151"/>
        <v>622</v>
      </c>
      <c r="T219" s="7">
        <f t="shared" si="115"/>
        <v>0</v>
      </c>
      <c r="U219" s="48">
        <f>IF(ISNUMBER(K219),L219*K219*(O219-$D$262)/E,)</f>
        <v>0</v>
      </c>
      <c r="V219" s="3"/>
      <c r="W219" s="3"/>
      <c r="X219" s="3"/>
      <c r="Y219" s="503">
        <f t="shared" si="140"/>
        <v>0</v>
      </c>
      <c r="Z219" s="1" t="s">
        <v>334</v>
      </c>
      <c r="AA219" s="504"/>
      <c r="AB219" s="504" t="str">
        <f t="shared" si="113"/>
        <v>PORTES AR</v>
      </c>
      <c r="AC219" s="504" t="str">
        <f t="shared" si="132"/>
        <v>Portière globale</v>
      </c>
      <c r="AD219" s="504" t="str">
        <f t="shared" si="133"/>
        <v/>
      </c>
      <c r="AE219" s="504" t="str">
        <f t="shared" si="134"/>
        <v xml:space="preserve">PORTES AR / Portière globale  / </v>
      </c>
      <c r="AF219" s="504"/>
      <c r="AH219" t="s">
        <v>781</v>
      </c>
      <c r="AL219" t="s">
        <v>782</v>
      </c>
    </row>
    <row r="220" spans="2:38" ht="15" customHeight="1">
      <c r="B220" s="9" t="s">
        <v>783</v>
      </c>
      <c r="C220" s="8"/>
      <c r="D220" s="8"/>
      <c r="E220" s="8"/>
      <c r="F220" s="8" t="s">
        <v>784</v>
      </c>
      <c r="G220" s="8"/>
      <c r="H220" s="8"/>
      <c r="I220" s="29"/>
      <c r="K220" s="33"/>
      <c r="L220" s="22">
        <f>SUMPRODUCT(L221:L224,K221:K224)</f>
        <v>71.073999999999998</v>
      </c>
      <c r="M220" s="203"/>
      <c r="O220" s="33">
        <f>SUMPRODUCT($K221:$K224,$L221:$L224,O221:O224)/$L220</f>
        <v>980.00000000000011</v>
      </c>
      <c r="P220" s="23">
        <f t="shared" ref="P220" si="152">SUMPRODUCT($K221:$K224,$L221:$L224,P221:P224)/$L220</f>
        <v>0</v>
      </c>
      <c r="Q220" s="23">
        <f t="shared" ref="Q220" si="153">SUMPRODUCT($K221:$K224,$L221:$L224,Q221:Q224)/$L220</f>
        <v>554</v>
      </c>
      <c r="R220" s="23">
        <f t="shared" ref="R220" si="154">SUMPRODUCT($K221:$K224,$L221:$L224,R221:R224)/$L220</f>
        <v>554</v>
      </c>
      <c r="S220" s="23">
        <f t="shared" ref="S220" si="155">SUMPRODUCT($K221:$K224,$L221:$L224,S221:S224)/$L220</f>
        <v>554</v>
      </c>
      <c r="T220" s="22">
        <f>SUM(T221:T224)</f>
        <v>43.546285984848488</v>
      </c>
      <c r="U220" s="32">
        <f>SUMIF($K221:$K224,"&gt;0",$U221:$U224)</f>
        <v>27.527714015151517</v>
      </c>
      <c r="V220" s="3"/>
      <c r="W220" s="3"/>
      <c r="X220" s="3"/>
      <c r="Y220" s="503">
        <f t="shared" si="140"/>
        <v>0</v>
      </c>
      <c r="Z220" s="1" t="s">
        <v>334</v>
      </c>
      <c r="AA220" s="504"/>
      <c r="AB220" s="504" t="str">
        <f t="shared" si="113"/>
        <v>PORTES AV</v>
      </c>
      <c r="AC220" s="504" t="str">
        <f t="shared" si="132"/>
        <v>Portière globale</v>
      </c>
      <c r="AD220" s="504" t="str">
        <f t="shared" si="133"/>
        <v/>
      </c>
      <c r="AE220" s="504" t="str">
        <f t="shared" si="134"/>
        <v xml:space="preserve">PORTES AV / Portière globale  / </v>
      </c>
      <c r="AF220" s="504"/>
    </row>
    <row r="221" spans="2:38" ht="15" customHeight="1" outlineLevel="1">
      <c r="B221" s="47"/>
      <c r="C221" s="35" t="s">
        <v>785</v>
      </c>
      <c r="D221" s="35"/>
      <c r="E221" s="35"/>
      <c r="F221" s="35" t="s">
        <v>786</v>
      </c>
      <c r="G221" s="35"/>
      <c r="H221" s="35"/>
      <c r="I221" s="102"/>
      <c r="K221" s="42">
        <v>1</v>
      </c>
      <c r="L221" s="106">
        <v>25.55</v>
      </c>
      <c r="M221" s="508"/>
      <c r="N221" s="3"/>
      <c r="O221" s="446">
        <f>'INPUT1 - Veh Geometry'!H$123</f>
        <v>980</v>
      </c>
      <c r="P221" s="10">
        <f>'INPUT1 - Veh Geometry'!I$123</f>
        <v>0</v>
      </c>
      <c r="Q221" s="10">
        <f>'INPUT1 - Veh Geometry'!J$123</f>
        <v>554</v>
      </c>
      <c r="R221" s="10">
        <f t="shared" ref="R221:S224" si="156">$Q221</f>
        <v>554</v>
      </c>
      <c r="S221" s="10">
        <f t="shared" si="156"/>
        <v>554</v>
      </c>
      <c r="T221" s="10">
        <f t="shared" si="115"/>
        <v>15.654214015151515</v>
      </c>
      <c r="U221" s="51">
        <f>IF(ISNUMBER(K221),L221*K221*(O221-$D$262)/E,)</f>
        <v>9.8957859848484855</v>
      </c>
      <c r="V221" s="3"/>
      <c r="W221" s="3"/>
      <c r="X221" s="3"/>
      <c r="Y221" s="503">
        <f t="shared" si="140"/>
        <v>25.55</v>
      </c>
      <c r="Z221" s="1" t="s">
        <v>334</v>
      </c>
      <c r="AA221" s="504"/>
      <c r="AB221" s="504" t="str">
        <f t="shared" si="113"/>
        <v>PORTES AV</v>
      </c>
      <c r="AC221" s="504" t="str">
        <f t="shared" si="132"/>
        <v>Equipement Porte AV</v>
      </c>
      <c r="AD221" s="504" t="str">
        <f t="shared" si="133"/>
        <v/>
      </c>
      <c r="AE221" s="504" t="str">
        <f t="shared" si="134"/>
        <v xml:space="preserve">PORTES AV / Equipement Porte AV  / </v>
      </c>
      <c r="AF221" s="504"/>
      <c r="AH221" t="s">
        <v>759</v>
      </c>
      <c r="AL221" t="s">
        <v>774</v>
      </c>
    </row>
    <row r="222" spans="2:38" ht="15" customHeight="1" outlineLevel="1">
      <c r="B222" s="47"/>
      <c r="C222" s="35" t="s">
        <v>787</v>
      </c>
      <c r="D222" s="35"/>
      <c r="E222" s="35"/>
      <c r="F222" s="35" t="s">
        <v>788</v>
      </c>
      <c r="G222" s="35"/>
      <c r="H222" s="35"/>
      <c r="I222" s="102"/>
      <c r="K222" s="42">
        <v>1</v>
      </c>
      <c r="L222" s="106">
        <v>39.524000000000001</v>
      </c>
      <c r="M222" s="508"/>
      <c r="N222" s="3"/>
      <c r="O222" s="446">
        <f>'INPUT1 - Veh Geometry'!H$123</f>
        <v>980</v>
      </c>
      <c r="P222" s="10">
        <f>'INPUT1 - Veh Geometry'!I$123</f>
        <v>0</v>
      </c>
      <c r="Q222" s="10">
        <f>'INPUT1 - Veh Geometry'!J$123</f>
        <v>554</v>
      </c>
      <c r="R222" s="10">
        <f t="shared" si="156"/>
        <v>554</v>
      </c>
      <c r="S222" s="10">
        <f t="shared" si="156"/>
        <v>554</v>
      </c>
      <c r="T222" s="10">
        <f t="shared" si="115"/>
        <v>24.215935606060604</v>
      </c>
      <c r="U222" s="51">
        <f>IF(ISNUMBER(K222),L222*K222*(O222-$D$262)/E,)</f>
        <v>15.308064393939395</v>
      </c>
      <c r="V222" s="3"/>
      <c r="W222" s="3"/>
      <c r="X222" s="3"/>
      <c r="Y222" s="503">
        <f t="shared" si="140"/>
        <v>39.524000000000001</v>
      </c>
      <c r="Z222" s="1" t="s">
        <v>334</v>
      </c>
      <c r="AA222" s="504"/>
      <c r="AB222" s="504" t="str">
        <f t="shared" si="113"/>
        <v>PORTES AV</v>
      </c>
      <c r="AC222" s="504" t="str">
        <f t="shared" si="132"/>
        <v>Tolerie Porte AV</v>
      </c>
      <c r="AD222" s="504" t="str">
        <f t="shared" si="133"/>
        <v/>
      </c>
      <c r="AE222" s="504" t="str">
        <f t="shared" si="134"/>
        <v xml:space="preserve">PORTES AV / Tolerie Porte AV  / </v>
      </c>
      <c r="AF222" s="504"/>
      <c r="AH222" t="s">
        <v>686</v>
      </c>
      <c r="AL222" t="s">
        <v>687</v>
      </c>
    </row>
    <row r="223" spans="2:38" ht="15" customHeight="1" outlineLevel="1">
      <c r="B223" s="47"/>
      <c r="C223" s="35" t="s">
        <v>789</v>
      </c>
      <c r="D223" s="35"/>
      <c r="E223" s="35"/>
      <c r="F223" s="35" t="s">
        <v>790</v>
      </c>
      <c r="G223" s="35"/>
      <c r="H223" s="35"/>
      <c r="I223" s="102"/>
      <c r="K223" s="42">
        <v>1</v>
      </c>
      <c r="L223" s="106">
        <v>6</v>
      </c>
      <c r="M223" s="508"/>
      <c r="N223" s="3"/>
      <c r="O223" s="446">
        <f>'INPUT1 - Veh Geometry'!H$123</f>
        <v>980</v>
      </c>
      <c r="P223" s="10">
        <f>'INPUT1 - Veh Geometry'!I$123</f>
        <v>0</v>
      </c>
      <c r="Q223" s="10">
        <f>'INPUT1 - Veh Geometry'!J$123</f>
        <v>554</v>
      </c>
      <c r="R223" s="10">
        <f t="shared" si="156"/>
        <v>554</v>
      </c>
      <c r="S223" s="10">
        <f t="shared" si="156"/>
        <v>554</v>
      </c>
      <c r="T223" s="10">
        <f t="shared" si="115"/>
        <v>3.6761363636363638</v>
      </c>
      <c r="U223" s="51">
        <f>IF(ISNUMBER(K223),L223*K223*(O223-$D$262)/E,)</f>
        <v>2.3238636363636362</v>
      </c>
      <c r="V223" s="3"/>
      <c r="W223" s="3"/>
      <c r="X223" s="3"/>
      <c r="Y223" s="503">
        <f t="shared" si="140"/>
        <v>6</v>
      </c>
      <c r="Z223" s="1" t="s">
        <v>334</v>
      </c>
      <c r="AA223" s="504"/>
      <c r="AB223" s="504" t="str">
        <f t="shared" si="113"/>
        <v>PORTES AV</v>
      </c>
      <c r="AC223" s="504" t="str">
        <f t="shared" si="132"/>
        <v>Vitrage portes AV</v>
      </c>
      <c r="AD223" s="504" t="str">
        <f t="shared" si="133"/>
        <v/>
      </c>
      <c r="AE223" s="504" t="str">
        <f t="shared" si="134"/>
        <v xml:space="preserve">PORTES AV / Vitrage portes AV  / </v>
      </c>
      <c r="AF223" s="504"/>
      <c r="AH223" t="s">
        <v>686</v>
      </c>
      <c r="AL223" t="s">
        <v>687</v>
      </c>
    </row>
    <row r="224" spans="2:38" ht="15" customHeight="1" outlineLevel="1">
      <c r="B224" s="47"/>
      <c r="C224" s="35" t="s">
        <v>791</v>
      </c>
      <c r="D224" s="35"/>
      <c r="E224" s="35"/>
      <c r="F224" s="35" t="s">
        <v>792</v>
      </c>
      <c r="G224" s="35"/>
      <c r="H224" s="35"/>
      <c r="I224" s="102"/>
      <c r="K224" s="42">
        <v>1</v>
      </c>
      <c r="L224" s="106">
        <v>0</v>
      </c>
      <c r="M224" s="508"/>
      <c r="N224" s="3"/>
      <c r="O224" s="446">
        <f>'INPUT1 - Veh Geometry'!H$123</f>
        <v>980</v>
      </c>
      <c r="P224" s="10">
        <f>'INPUT1 - Veh Geometry'!I$123</f>
        <v>0</v>
      </c>
      <c r="Q224" s="10">
        <f>'INPUT1 - Veh Geometry'!J$123</f>
        <v>554</v>
      </c>
      <c r="R224" s="10">
        <f t="shared" si="156"/>
        <v>554</v>
      </c>
      <c r="S224" s="10">
        <f t="shared" si="156"/>
        <v>554</v>
      </c>
      <c r="T224" s="10">
        <f t="shared" si="115"/>
        <v>0</v>
      </c>
      <c r="U224" s="51">
        <f>IF(ISNUMBER(K224),L224*K224*(O224-$D$262)/E,)</f>
        <v>0</v>
      </c>
      <c r="V224" s="3"/>
      <c r="W224" s="3"/>
      <c r="X224" s="3"/>
      <c r="Y224" s="503">
        <f t="shared" si="140"/>
        <v>0</v>
      </c>
      <c r="Z224" s="1" t="s">
        <v>334</v>
      </c>
      <c r="AA224" s="504"/>
      <c r="AB224" s="504" t="str">
        <f t="shared" si="113"/>
        <v>PORTES AV</v>
      </c>
      <c r="AC224" s="504" t="str">
        <f t="shared" si="132"/>
        <v>Portiere globale</v>
      </c>
      <c r="AD224" s="504" t="str">
        <f t="shared" si="133"/>
        <v/>
      </c>
      <c r="AE224" s="504" t="str">
        <f t="shared" si="134"/>
        <v xml:space="preserve">PORTES AV / Portiere globale  / </v>
      </c>
      <c r="AF224" s="504"/>
      <c r="AH224" t="s">
        <v>781</v>
      </c>
      <c r="AL224" t="s">
        <v>782</v>
      </c>
    </row>
    <row r="225" spans="2:38" ht="15" customHeight="1">
      <c r="B225" s="9" t="s">
        <v>793</v>
      </c>
      <c r="C225" s="8"/>
      <c r="D225" s="8"/>
      <c r="E225" s="8"/>
      <c r="F225" s="8" t="s">
        <v>794</v>
      </c>
      <c r="G225" s="8"/>
      <c r="H225" s="8"/>
      <c r="I225" s="29"/>
      <c r="K225" s="33"/>
      <c r="L225" s="22">
        <f>SUMPRODUCT(K226:K227,L226:L227)</f>
        <v>9.8000000000000007</v>
      </c>
      <c r="M225" s="203"/>
      <c r="O225" s="33">
        <f t="shared" ref="O225" si="157">SUMPRODUCT($K226:$K227,$L226:$L227,O226:O227)/$L225</f>
        <v>892.60204081632651</v>
      </c>
      <c r="P225" s="23">
        <f t="shared" ref="P225" si="158">SUMPRODUCT($K226:$K227,$L226:$L227,P226:P227)/$L225</f>
        <v>14.999999999999998</v>
      </c>
      <c r="Q225" s="23">
        <f t="shared" ref="Q225" si="159">SUMPRODUCT($K226:$K227,$L226:$L227,Q226:Q227)/$L225</f>
        <v>180.09591836734694</v>
      </c>
      <c r="R225" s="23">
        <f t="shared" ref="R225" si="160">SUMPRODUCT($K226:$K227,$L226:$L227,R226:R227)/$L225</f>
        <v>180.09591836734694</v>
      </c>
      <c r="S225" s="23">
        <f t="shared" ref="S225" si="161">SUMPRODUCT($K226:$K227,$L226:$L227,S226:S227)/$L225</f>
        <v>180.09591836734694</v>
      </c>
      <c r="T225" s="22">
        <f>SUM(T226:T227)</f>
        <v>6.3287878787878791</v>
      </c>
      <c r="U225" s="32">
        <f>SUMIF($K226:$K227,"&gt;0",$U226:$U227)</f>
        <v>3.4712121212121207</v>
      </c>
      <c r="V225" s="3"/>
      <c r="W225" s="3"/>
      <c r="X225" s="3"/>
      <c r="Y225" s="503">
        <f t="shared" si="140"/>
        <v>0</v>
      </c>
      <c r="Z225" s="1" t="s">
        <v>441</v>
      </c>
      <c r="AA225" s="504"/>
      <c r="AB225" s="504" t="str">
        <f t="shared" si="113"/>
        <v>SYSTÈME ABSORPTION CHOC (SAC)</v>
      </c>
      <c r="AC225" s="504" t="str">
        <f t="shared" si="132"/>
        <v>Portiere globale</v>
      </c>
      <c r="AD225" s="504" t="str">
        <f t="shared" si="133"/>
        <v/>
      </c>
      <c r="AE225" s="504" t="str">
        <f t="shared" si="134"/>
        <v xml:space="preserve">SYSTÈME ABSORPTION CHOC (SAC) / Portiere globale  / </v>
      </c>
      <c r="AF225" s="504"/>
    </row>
    <row r="226" spans="2:38" ht="15" customHeight="1" outlineLevel="1">
      <c r="B226" s="47"/>
      <c r="C226" s="35" t="s">
        <v>795</v>
      </c>
      <c r="D226" s="35"/>
      <c r="E226" s="35"/>
      <c r="F226" s="35" t="s">
        <v>796</v>
      </c>
      <c r="G226" s="35"/>
      <c r="H226" s="35"/>
      <c r="I226" s="102"/>
      <c r="K226" s="42">
        <v>1</v>
      </c>
      <c r="L226" s="106">
        <v>5.8</v>
      </c>
      <c r="M226" s="508"/>
      <c r="N226" s="3"/>
      <c r="O226" s="446">
        <f>'INPUT1 - Veh Geometry'!$H$61-'INPUT1 - Veh Geometry'!$H$35+200</f>
        <v>-662.5</v>
      </c>
      <c r="P226" s="10">
        <v>15</v>
      </c>
      <c r="Q226" s="10">
        <f>'INPUT1 - Veh Geometry'!$J$42-200</f>
        <v>190.3</v>
      </c>
      <c r="R226" s="10">
        <f t="shared" ref="R226:S227" si="162">$Q226</f>
        <v>190.3</v>
      </c>
      <c r="S226" s="10">
        <f t="shared" si="162"/>
        <v>190.3</v>
      </c>
      <c r="T226" s="10">
        <f t="shared" si="115"/>
        <v>7.1621212121212121</v>
      </c>
      <c r="U226" s="51">
        <f>IF(ISNUMBER(K226),L226*K226*(O226-$D$262)/E,)</f>
        <v>-1.3621212121212121</v>
      </c>
      <c r="V226" s="3"/>
      <c r="W226" s="3"/>
      <c r="X226" s="3"/>
      <c r="Y226" s="503">
        <f t="shared" si="140"/>
        <v>5.8</v>
      </c>
      <c r="Z226" s="1" t="s">
        <v>441</v>
      </c>
      <c r="AA226" s="504"/>
      <c r="AB226" s="504" t="str">
        <f t="shared" si="113"/>
        <v>SYSTÈME ABSORPTION CHOC (SAC)</v>
      </c>
      <c r="AC226" s="504" t="str">
        <f t="shared" si="132"/>
        <v>SAC AV</v>
      </c>
      <c r="AD226" s="504" t="str">
        <f t="shared" si="133"/>
        <v/>
      </c>
      <c r="AE226" s="504" t="str">
        <f t="shared" si="134"/>
        <v xml:space="preserve">SYSTÈME ABSORPTION CHOC (SAC) / SAC AV  / </v>
      </c>
      <c r="AF226" s="504"/>
      <c r="AH226" t="s">
        <v>797</v>
      </c>
      <c r="AL226" t="s">
        <v>798</v>
      </c>
    </row>
    <row r="227" spans="2:38" ht="15" customHeight="1" outlineLevel="1">
      <c r="B227" s="47"/>
      <c r="C227" s="35" t="s">
        <v>799</v>
      </c>
      <c r="D227" s="35"/>
      <c r="E227" s="35"/>
      <c r="F227" s="35" t="s">
        <v>800</v>
      </c>
      <c r="G227" s="35"/>
      <c r="H227" s="35"/>
      <c r="I227" s="102"/>
      <c r="K227" s="42">
        <v>1</v>
      </c>
      <c r="L227" s="106">
        <v>4</v>
      </c>
      <c r="M227" s="508"/>
      <c r="N227" s="3"/>
      <c r="O227" s="446">
        <f>'INPUT1 - Veh Geometry'!$H$72+'INPUT1 - Veh Geometry'!$H$36-150</f>
        <v>3147.5</v>
      </c>
      <c r="P227" s="10">
        <v>15</v>
      </c>
      <c r="Q227" s="10">
        <f>'INPUT1 - Veh Geometry'!$J$42-225</f>
        <v>165.3</v>
      </c>
      <c r="R227" s="10">
        <f t="shared" si="162"/>
        <v>165.3</v>
      </c>
      <c r="S227" s="10">
        <f t="shared" si="162"/>
        <v>165.3</v>
      </c>
      <c r="T227" s="10">
        <f t="shared" si="115"/>
        <v>-0.83333333333333304</v>
      </c>
      <c r="U227" s="51">
        <f>IF(ISNUMBER(K227),L227*K227*(O227-$D$262)/E,)</f>
        <v>4.833333333333333</v>
      </c>
      <c r="V227" s="3"/>
      <c r="W227" s="3"/>
      <c r="X227" s="3"/>
      <c r="Y227" s="503">
        <f t="shared" si="140"/>
        <v>4</v>
      </c>
      <c r="Z227" s="1" t="s">
        <v>441</v>
      </c>
      <c r="AA227" s="504"/>
      <c r="AB227" s="504" t="str">
        <f t="shared" si="113"/>
        <v>SYSTÈME ABSORPTION CHOC (SAC)</v>
      </c>
      <c r="AC227" s="504" t="str">
        <f t="shared" si="132"/>
        <v>SAC AR</v>
      </c>
      <c r="AD227" s="504" t="str">
        <f t="shared" si="133"/>
        <v/>
      </c>
      <c r="AE227" s="504" t="str">
        <f t="shared" si="134"/>
        <v xml:space="preserve">SYSTÈME ABSORPTION CHOC (SAC) / SAC AR  / </v>
      </c>
      <c r="AF227" s="504"/>
      <c r="AH227" t="s">
        <v>801</v>
      </c>
      <c r="AL227" t="s">
        <v>802</v>
      </c>
    </row>
    <row r="228" spans="2:38" ht="15" customHeight="1">
      <c r="B228" s="9" t="s">
        <v>803</v>
      </c>
      <c r="C228" s="8"/>
      <c r="D228" s="8"/>
      <c r="E228" s="8"/>
      <c r="F228" s="8" t="s">
        <v>804</v>
      </c>
      <c r="G228" s="8"/>
      <c r="H228" s="8"/>
      <c r="I228" s="29"/>
      <c r="K228" s="33"/>
      <c r="L228" s="22">
        <f>SUMPRODUCT(K229:K230,L229:L230)</f>
        <v>14.399999999999999</v>
      </c>
      <c r="M228" s="203"/>
      <c r="O228" s="33">
        <f t="shared" ref="O228" si="163">SUMPRODUCT($K229:$K230,$L229:$L230,O229:O230)/$L228</f>
        <v>1439.4444444444446</v>
      </c>
      <c r="P228" s="23">
        <f t="shared" ref="P228" si="164">SUMPRODUCT($K229:$K230,$L229:$L230,P229:P230)/$L228</f>
        <v>0</v>
      </c>
      <c r="Q228" s="23">
        <f t="shared" ref="Q228" si="165">SUMPRODUCT($K229:$K230,$L229:$L230,Q229:Q230)/$L228</f>
        <v>209.12222222222226</v>
      </c>
      <c r="R228" s="23">
        <f t="shared" ref="R228" si="166">SUMPRODUCT($K229:$K230,$L229:$L230,R229:R230)/$L228</f>
        <v>209.12222222222226</v>
      </c>
      <c r="S228" s="23">
        <f t="shared" ref="S228" si="167">SUMPRODUCT($K229:$K230,$L229:$L230,S229:S230)/$L228</f>
        <v>209.12222222222226</v>
      </c>
      <c r="T228" s="22">
        <f>SUM(T229:T230)</f>
        <v>6.3166666666666664</v>
      </c>
      <c r="U228" s="32">
        <f>SUMIF($K229:$K230,"&gt;0",$U229:$U230)</f>
        <v>8.0833333333333321</v>
      </c>
      <c r="V228" s="3"/>
      <c r="W228" s="3"/>
      <c r="X228" s="3"/>
      <c r="Y228" s="503">
        <f t="shared" si="140"/>
        <v>0</v>
      </c>
      <c r="Z228" s="1" t="s">
        <v>441</v>
      </c>
      <c r="AA228" s="504"/>
      <c r="AB228" s="504" t="str">
        <f t="shared" si="113"/>
        <v>TAPIS</v>
      </c>
      <c r="AC228" s="504" t="str">
        <f t="shared" si="132"/>
        <v>SAC AR</v>
      </c>
      <c r="AD228" s="504" t="str">
        <f t="shared" si="133"/>
        <v/>
      </c>
      <c r="AE228" s="504" t="str">
        <f t="shared" si="134"/>
        <v xml:space="preserve">TAPIS / SAC AR  / </v>
      </c>
      <c r="AF228" s="504"/>
    </row>
    <row r="229" spans="2:38" ht="15" customHeight="1" outlineLevel="1">
      <c r="B229" s="47"/>
      <c r="C229" s="35" t="s">
        <v>805</v>
      </c>
      <c r="D229" s="35"/>
      <c r="E229" s="35"/>
      <c r="F229" s="35" t="s">
        <v>806</v>
      </c>
      <c r="G229" s="35"/>
      <c r="H229" s="35"/>
      <c r="I229" s="102"/>
      <c r="K229" s="42">
        <v>1</v>
      </c>
      <c r="L229" s="106">
        <v>11.2</v>
      </c>
      <c r="M229" s="508"/>
      <c r="N229" s="3"/>
      <c r="O229" s="446">
        <f>'INPUT1 - Veh Geometry'!H49/2</f>
        <v>1065</v>
      </c>
      <c r="P229" s="10">
        <v>0</v>
      </c>
      <c r="Q229" s="10">
        <f>'INPUT1 - Veh Geometry'!$J$42-300</f>
        <v>90.300000000000011</v>
      </c>
      <c r="R229" s="10">
        <f t="shared" ref="R229:S230" si="168">$Q229</f>
        <v>90.300000000000011</v>
      </c>
      <c r="S229" s="10">
        <f t="shared" si="168"/>
        <v>90.300000000000011</v>
      </c>
      <c r="T229" s="10">
        <f t="shared" si="115"/>
        <v>6.501515151515151</v>
      </c>
      <c r="U229" s="51">
        <f>IF(ISNUMBER(K229),L229*K229*(O229-$D$262)/E,)</f>
        <v>4.6984848484848483</v>
      </c>
      <c r="V229" s="3"/>
      <c r="W229" s="3"/>
      <c r="X229" s="3"/>
      <c r="Y229" s="503">
        <f t="shared" si="140"/>
        <v>11.2</v>
      </c>
      <c r="Z229" s="1" t="s">
        <v>441</v>
      </c>
      <c r="AA229" s="504"/>
      <c r="AB229" s="504" t="str">
        <f t="shared" si="113"/>
        <v>TAPIS</v>
      </c>
      <c r="AC229" s="504" t="str">
        <f t="shared" si="132"/>
        <v>Tapis monopièce</v>
      </c>
      <c r="AD229" s="504" t="str">
        <f t="shared" si="133"/>
        <v/>
      </c>
      <c r="AE229" s="504" t="str">
        <f t="shared" si="134"/>
        <v xml:space="preserve">TAPIS / Tapis monopièce  / </v>
      </c>
      <c r="AF229" s="504"/>
      <c r="AH229" t="s">
        <v>807</v>
      </c>
      <c r="AL229" t="s">
        <v>808</v>
      </c>
    </row>
    <row r="230" spans="2:38" ht="15" customHeight="1" outlineLevel="1">
      <c r="B230" s="47"/>
      <c r="C230" s="35" t="s">
        <v>809</v>
      </c>
      <c r="D230" s="35"/>
      <c r="E230" s="35"/>
      <c r="F230" s="35" t="s">
        <v>810</v>
      </c>
      <c r="G230" s="35"/>
      <c r="H230" s="35"/>
      <c r="I230" s="102"/>
      <c r="K230" s="42">
        <v>1</v>
      </c>
      <c r="L230" s="106">
        <v>3.2</v>
      </c>
      <c r="M230" s="508"/>
      <c r="N230" s="3"/>
      <c r="O230" s="446">
        <f>'INPUT1 - Veh Geometry'!H57</f>
        <v>2750</v>
      </c>
      <c r="P230" s="10">
        <f>'INPUT1 - Veh Geometry'!I57</f>
        <v>0</v>
      </c>
      <c r="Q230" s="10">
        <f>'INPUT1 - Veh Geometry'!J57</f>
        <v>625</v>
      </c>
      <c r="R230" s="10">
        <f t="shared" si="168"/>
        <v>625</v>
      </c>
      <c r="S230" s="10">
        <f t="shared" si="168"/>
        <v>625</v>
      </c>
      <c r="T230" s="10">
        <f t="shared" ref="T230" si="169">L230*K230-U230</f>
        <v>-0.1848484848484846</v>
      </c>
      <c r="U230" s="51">
        <f>IF(ISNUMBER(K230),L230*K230*(O230-$D$262)/E,)</f>
        <v>3.3848484848484848</v>
      </c>
      <c r="V230" s="3"/>
      <c r="W230" s="3"/>
      <c r="X230" s="3"/>
      <c r="Y230" s="503">
        <f t="shared" si="140"/>
        <v>3.2</v>
      </c>
      <c r="Z230" s="1" t="s">
        <v>441</v>
      </c>
      <c r="AA230" s="504"/>
      <c r="AB230" s="504" t="str">
        <f t="shared" si="113"/>
        <v>TAPIS</v>
      </c>
      <c r="AC230" s="504" t="str">
        <f t="shared" si="132"/>
        <v>Tapis coffre</v>
      </c>
      <c r="AD230" s="504" t="str">
        <f t="shared" si="133"/>
        <v/>
      </c>
      <c r="AE230" s="504" t="str">
        <f t="shared" si="134"/>
        <v xml:space="preserve">TAPIS / Tapis coffre  / </v>
      </c>
      <c r="AF230" s="504"/>
      <c r="AH230" t="s">
        <v>811</v>
      </c>
      <c r="AL230" t="s">
        <v>812</v>
      </c>
    </row>
    <row r="231" spans="2:38" ht="15" customHeight="1">
      <c r="B231" s="9" t="s">
        <v>813</v>
      </c>
      <c r="C231" s="8"/>
      <c r="D231" s="8"/>
      <c r="E231" s="8"/>
      <c r="F231" s="8" t="s">
        <v>814</v>
      </c>
      <c r="G231" s="8"/>
      <c r="H231" s="8"/>
      <c r="I231" s="29"/>
      <c r="K231" s="33"/>
      <c r="L231" s="22">
        <f>SUMPRODUCT(L232:L240,K232:K240)</f>
        <v>11.799999999999999</v>
      </c>
      <c r="M231" s="203"/>
      <c r="O231" s="33">
        <f>SUMPRODUCT($K232:$K240,$L232:$L240,O232:O240)/$L231</f>
        <v>-2.6694915254237293</v>
      </c>
      <c r="P231" s="23">
        <f t="shared" ref="P231:S231" si="170">SUMPRODUCT($K232:$K240,$L232:$L240,P232:P240)/$L231</f>
        <v>14.745762711864408</v>
      </c>
      <c r="Q231" s="23">
        <f t="shared" si="170"/>
        <v>77.152542372881356</v>
      </c>
      <c r="R231" s="23">
        <f t="shared" si="170"/>
        <v>65.906779661016955</v>
      </c>
      <c r="S231" s="23">
        <f t="shared" si="170"/>
        <v>79.381355932203391</v>
      </c>
      <c r="T231" s="22">
        <f>SUMIF($K232:$K240,"&gt;0",$T232:$T240)</f>
        <v>11.621969696969696</v>
      </c>
      <c r="U231" s="32">
        <f>SUMIF($K232:$K240,"&gt;0",$U232:$U240)</f>
        <v>0.17803030303030304</v>
      </c>
      <c r="V231" s="3"/>
      <c r="W231" s="3"/>
      <c r="X231" s="3"/>
      <c r="Y231" s="503">
        <f t="shared" si="140"/>
        <v>0</v>
      </c>
      <c r="Z231" s="1" t="s">
        <v>368</v>
      </c>
      <c r="AA231" s="504"/>
      <c r="AB231" s="504" t="str">
        <f t="shared" si="113"/>
        <v>TRANSMISSION</v>
      </c>
      <c r="AC231" s="504" t="str">
        <f t="shared" si="132"/>
        <v>Tapis coffre</v>
      </c>
      <c r="AD231" s="504" t="str">
        <f t="shared" si="133"/>
        <v/>
      </c>
      <c r="AE231" s="504" t="str">
        <f t="shared" si="134"/>
        <v xml:space="preserve">TRANSMISSION / Tapis coffre  / </v>
      </c>
      <c r="AF231" s="504"/>
    </row>
    <row r="232" spans="2:38" ht="15" customHeight="1" outlineLevel="1">
      <c r="B232" s="12"/>
      <c r="C232" s="11" t="s">
        <v>815</v>
      </c>
      <c r="D232" s="11"/>
      <c r="E232" s="11"/>
      <c r="F232" s="11" t="s">
        <v>816</v>
      </c>
      <c r="G232" s="11"/>
      <c r="H232" s="11"/>
      <c r="I232" s="27"/>
      <c r="K232" s="55" t="s">
        <v>153</v>
      </c>
      <c r="L232" s="58">
        <f>SUMPRODUCT(K233:K234,L233:L234)</f>
        <v>11.6</v>
      </c>
      <c r="M232" s="508"/>
      <c r="N232" s="3"/>
      <c r="O232" s="55">
        <f t="shared" ref="O232:P232" si="171">SUMPRODUCT($K233:$K236,$L233:$L236,O233:O236)/SUMPRODUCT($K233:$K236,$L233:$L236)</f>
        <v>-47.5</v>
      </c>
      <c r="P232" s="57">
        <f t="shared" si="171"/>
        <v>15</v>
      </c>
      <c r="Q232" s="57">
        <f>SUMPRODUCT($K233:$K236,$L233:$L236,Q233:Q236)/SUMPRODUCT($K233:$K236,$L233:$L236)</f>
        <v>77</v>
      </c>
      <c r="R232" s="57">
        <f t="shared" ref="R232:S232" si="172">SUMPRODUCT($K233:$K236,$L233:$L236,R233:R236)/SUMPRODUCT($K233:$K236,$L233:$L236)</f>
        <v>66</v>
      </c>
      <c r="S232" s="57">
        <f t="shared" si="172"/>
        <v>79</v>
      </c>
      <c r="T232" s="57">
        <f>SUMPRODUCT(T233:T236,$K233:$K236)</f>
        <v>11.621969696969696</v>
      </c>
      <c r="U232" s="454">
        <f>SUMPRODUCT(U233:U236,$K233:$K236)</f>
        <v>-2.1969696969696969E-2</v>
      </c>
      <c r="V232" s="3"/>
      <c r="W232" s="3"/>
      <c r="X232" s="3"/>
      <c r="Y232" s="503">
        <f t="shared" si="140"/>
        <v>0</v>
      </c>
      <c r="Z232" s="1" t="s">
        <v>368</v>
      </c>
      <c r="AA232" s="504"/>
      <c r="AB232" s="504" t="str">
        <f t="shared" ref="AB232:AB244" si="173">IF(B232&lt;&gt;0,B232,AB231)</f>
        <v>TRANSMISSION</v>
      </c>
      <c r="AC232" s="504" t="str">
        <f t="shared" si="132"/>
        <v>Transmission avant</v>
      </c>
      <c r="AD232" s="504" t="str">
        <f t="shared" si="133"/>
        <v/>
      </c>
      <c r="AE232" s="504" t="str">
        <f t="shared" si="134"/>
        <v xml:space="preserve">TRANSMISSION / Transmission avant  / </v>
      </c>
      <c r="AF232" s="504"/>
      <c r="AH232" t="s">
        <v>639</v>
      </c>
      <c r="AL232" t="s">
        <v>640</v>
      </c>
    </row>
    <row r="233" spans="2:38" ht="15" customHeight="1" outlineLevel="2">
      <c r="B233" s="15"/>
      <c r="C233" s="14"/>
      <c r="D233" s="14" t="s">
        <v>817</v>
      </c>
      <c r="E233" s="14"/>
      <c r="F233" s="14" t="s">
        <v>818</v>
      </c>
      <c r="G233" s="14"/>
      <c r="H233" s="14"/>
      <c r="I233" s="28"/>
      <c r="K233" s="42">
        <v>1</v>
      </c>
      <c r="L233" s="106">
        <v>5.8</v>
      </c>
      <c r="M233" s="205">
        <f>'UNSPRUNG Mass estimation'!F33</f>
        <v>0.7</v>
      </c>
      <c r="N233" s="3"/>
      <c r="O233" s="446">
        <f>'INPUT1 - Veh Geometry'!H$61-5</f>
        <v>-47.5</v>
      </c>
      <c r="P233" s="10">
        <f>'INPUT1 - Veh Geometry'!I$61</f>
        <v>0</v>
      </c>
      <c r="Q233" s="10">
        <f>'INPUT1 - Veh Geometry'!J$61+10</f>
        <v>77</v>
      </c>
      <c r="R233" s="10">
        <f>$Q233+(-'INPUT1 - Veh Geometry'!$J$62+'INPUT1 - Veh Geometry'!$J$63)/2</f>
        <v>66</v>
      </c>
      <c r="S233" s="10">
        <f>$Q233+(-'INPUT1 - Veh Geometry'!$J$62+'INPUT1 - Veh Geometry'!$J$64)/2</f>
        <v>79</v>
      </c>
      <c r="T233" s="10">
        <f t="shared" ref="T233:T236" si="174">L233*K233-U233</f>
        <v>5.8109848484848481</v>
      </c>
      <c r="U233" s="51">
        <f>IF(ISNUMBER(K233),L233*K233*(O233-$D$262)/E,)</f>
        <v>-1.0984848484848484E-2</v>
      </c>
      <c r="V233" s="3"/>
      <c r="W233" s="3"/>
      <c r="X233" s="3"/>
      <c r="Y233" s="503">
        <f t="shared" si="140"/>
        <v>5.8</v>
      </c>
      <c r="Z233" s="1" t="s">
        <v>368</v>
      </c>
      <c r="AA233" s="505" t="s">
        <v>819</v>
      </c>
      <c r="AB233" s="504" t="str">
        <f t="shared" si="173"/>
        <v>TRANSMISSION</v>
      </c>
      <c r="AC233" s="504" t="str">
        <f t="shared" si="132"/>
        <v>Transmission avant</v>
      </c>
      <c r="AD233" s="504" t="str">
        <f t="shared" si="133"/>
        <v>Cardan gauche</v>
      </c>
      <c r="AE233" s="504" t="str">
        <f t="shared" si="134"/>
        <v>TRANSMISSION / Transmission avant  / Cardan gauche</v>
      </c>
      <c r="AF233" s="505"/>
      <c r="AH233" t="s">
        <v>820</v>
      </c>
      <c r="AL233" t="s">
        <v>821</v>
      </c>
    </row>
    <row r="234" spans="2:38" ht="15" customHeight="1" outlineLevel="2">
      <c r="B234" s="15"/>
      <c r="C234" s="14"/>
      <c r="D234" s="14" t="s">
        <v>822</v>
      </c>
      <c r="E234" s="14"/>
      <c r="F234" s="14" t="s">
        <v>823</v>
      </c>
      <c r="G234" s="14"/>
      <c r="H234" s="14"/>
      <c r="I234" s="28"/>
      <c r="K234" s="42">
        <v>1</v>
      </c>
      <c r="L234" s="106">
        <v>5.8</v>
      </c>
      <c r="M234" s="205">
        <f>'UNSPRUNG Mass estimation'!F33</f>
        <v>0.7</v>
      </c>
      <c r="N234" s="3"/>
      <c r="O234" s="446">
        <f>'INPUT1 - Veh Geometry'!H$61-5</f>
        <v>-47.5</v>
      </c>
      <c r="P234" s="10">
        <v>30</v>
      </c>
      <c r="Q234" s="10">
        <f>'INPUT1 - Veh Geometry'!J$61+10</f>
        <v>77</v>
      </c>
      <c r="R234" s="10">
        <f>$Q234+(-'INPUT1 - Veh Geometry'!$J$62+'INPUT1 - Veh Geometry'!$J$63)/2</f>
        <v>66</v>
      </c>
      <c r="S234" s="10">
        <f>$Q234+(-'INPUT1 - Veh Geometry'!$J$62+'INPUT1 - Veh Geometry'!$J$64)/2</f>
        <v>79</v>
      </c>
      <c r="T234" s="10">
        <f t="shared" si="174"/>
        <v>5.8109848484848481</v>
      </c>
      <c r="U234" s="51">
        <f>IF(ISNUMBER(K234),L234*K234*(O234-$D$262)/E,)</f>
        <v>-1.0984848484848484E-2</v>
      </c>
      <c r="V234" s="3"/>
      <c r="W234" s="3"/>
      <c r="X234" s="3"/>
      <c r="Y234" s="503">
        <f t="shared" si="140"/>
        <v>5.8</v>
      </c>
      <c r="Z234" s="1" t="s">
        <v>368</v>
      </c>
      <c r="AA234" s="505" t="s">
        <v>819</v>
      </c>
      <c r="AB234" s="504" t="str">
        <f t="shared" si="173"/>
        <v>TRANSMISSION</v>
      </c>
      <c r="AC234" s="504" t="str">
        <f t="shared" si="132"/>
        <v>Transmission avant</v>
      </c>
      <c r="AD234" s="504" t="str">
        <f t="shared" si="133"/>
        <v>Cardan droit</v>
      </c>
      <c r="AE234" s="504" t="str">
        <f t="shared" si="134"/>
        <v>TRANSMISSION / Transmission avant  / Cardan droit</v>
      </c>
      <c r="AF234" s="505"/>
      <c r="AH234" t="s">
        <v>820</v>
      </c>
      <c r="AL234" t="s">
        <v>821</v>
      </c>
    </row>
    <row r="235" spans="2:38" ht="15" customHeight="1" outlineLevel="2">
      <c r="B235" s="15"/>
      <c r="C235" s="14"/>
      <c r="D235" s="14" t="s">
        <v>824</v>
      </c>
      <c r="E235" s="14"/>
      <c r="F235" s="14" t="s">
        <v>825</v>
      </c>
      <c r="G235" s="14"/>
      <c r="H235" s="14"/>
      <c r="I235" s="28"/>
      <c r="K235" s="42"/>
      <c r="L235" s="106"/>
      <c r="M235" s="205">
        <f>'UNSPRUNG Mass estimation'!F34</f>
        <v>0.7</v>
      </c>
      <c r="N235" s="3"/>
      <c r="O235" s="446">
        <f>'INPUT1 - Veh Geometry'!H$61-30</f>
        <v>-72.5</v>
      </c>
      <c r="P235" s="10">
        <v>175</v>
      </c>
      <c r="Q235" s="10">
        <v>175</v>
      </c>
      <c r="R235" s="10">
        <f>$Q235+(-'INPUT1 - Veh Geometry'!$J$62+'INPUT1 - Veh Geometry'!$J$63)/2</f>
        <v>164</v>
      </c>
      <c r="S235" s="10">
        <f>$Q235+(-'INPUT1 - Veh Geometry'!$J$62+'INPUT1 - Veh Geometry'!$J$64)/2</f>
        <v>177</v>
      </c>
      <c r="T235" s="10">
        <f t="shared" ref="T235" si="175">L235*K235-U235</f>
        <v>0</v>
      </c>
      <c r="U235" s="51">
        <f>IF(ISNUMBER(K235),L235*K235*(O235-$D$262)/E,)</f>
        <v>0</v>
      </c>
      <c r="V235" s="3"/>
      <c r="W235" s="3"/>
      <c r="X235" s="3"/>
      <c r="Y235" s="503">
        <f t="shared" ref="Y235" si="176">IF(ISNUMBER(K235),L235*K235,0)</f>
        <v>0</v>
      </c>
      <c r="Z235" s="1" t="s">
        <v>368</v>
      </c>
      <c r="AA235" s="505" t="s">
        <v>819</v>
      </c>
      <c r="AB235" s="504" t="str">
        <f t="shared" si="173"/>
        <v>TRANSMISSION</v>
      </c>
      <c r="AC235" s="504" t="str">
        <f t="shared" si="132"/>
        <v>Transmission avant</v>
      </c>
      <c r="AD235" s="504" t="str">
        <f t="shared" si="133"/>
        <v>Cardan droit -&gt; Palier  fixe</v>
      </c>
      <c r="AE235" s="504" t="str">
        <f t="shared" si="134"/>
        <v>TRANSMISSION / Transmission avant  / Cardan droit -&gt; Palier  fixe</v>
      </c>
      <c r="AF235" s="505"/>
      <c r="AH235" t="s">
        <v>820</v>
      </c>
      <c r="AL235" t="s">
        <v>821</v>
      </c>
    </row>
    <row r="236" spans="2:38" ht="15" customHeight="1" outlineLevel="2">
      <c r="B236" s="15"/>
      <c r="C236" s="14"/>
      <c r="D236" s="14" t="s">
        <v>826</v>
      </c>
      <c r="E236" s="14"/>
      <c r="F236" s="14" t="s">
        <v>827</v>
      </c>
      <c r="G236" s="14"/>
      <c r="H236" s="14"/>
      <c r="I236" s="28"/>
      <c r="K236" s="42"/>
      <c r="L236" s="106"/>
      <c r="M236" s="508"/>
      <c r="N236" s="3"/>
      <c r="O236" s="446">
        <f>'INPUT1 - Veh Geometry'!H$61</f>
        <v>-42.5</v>
      </c>
      <c r="P236" s="10">
        <f>'INPUT1 - Veh Geometry'!I$61</f>
        <v>0</v>
      </c>
      <c r="Q236" s="10">
        <f>'INPUT1 - Veh Geometry'!J$61</f>
        <v>67</v>
      </c>
      <c r="R236" s="10">
        <f t="shared" ref="R236:S236" si="177">$Q236</f>
        <v>67</v>
      </c>
      <c r="S236" s="10">
        <f t="shared" si="177"/>
        <v>67</v>
      </c>
      <c r="T236" s="10">
        <f t="shared" si="174"/>
        <v>0</v>
      </c>
      <c r="U236" s="51">
        <f>IF(ISNUMBER(K236),L236*K236*(O236-$D$262)/E,)</f>
        <v>0</v>
      </c>
      <c r="V236" s="3"/>
      <c r="W236" s="3"/>
      <c r="X236" s="3"/>
      <c r="Y236" s="503">
        <f t="shared" si="140"/>
        <v>0</v>
      </c>
      <c r="Z236" s="1" t="s">
        <v>368</v>
      </c>
      <c r="AA236" s="504"/>
      <c r="AB236" s="504" t="str">
        <f t="shared" si="173"/>
        <v>TRANSMISSION</v>
      </c>
      <c r="AC236" s="504" t="str">
        <f t="shared" si="132"/>
        <v>Transmission avant</v>
      </c>
      <c r="AD236" s="504" t="str">
        <f t="shared" si="133"/>
        <v>Système différentiel</v>
      </c>
      <c r="AE236" s="504" t="str">
        <f t="shared" si="134"/>
        <v>TRANSMISSION / Transmission avant  / Système différentiel</v>
      </c>
      <c r="AF236" s="504"/>
      <c r="AH236" t="s">
        <v>828</v>
      </c>
      <c r="AL236" t="s">
        <v>829</v>
      </c>
    </row>
    <row r="237" spans="2:38" ht="15" customHeight="1" outlineLevel="1">
      <c r="B237" s="12"/>
      <c r="C237" s="11" t="s">
        <v>830</v>
      </c>
      <c r="D237" s="11"/>
      <c r="E237" s="11"/>
      <c r="F237" s="11" t="s">
        <v>831</v>
      </c>
      <c r="G237" s="11"/>
      <c r="H237" s="11"/>
      <c r="I237" s="27"/>
      <c r="K237" s="55" t="s">
        <v>153</v>
      </c>
      <c r="L237" s="58">
        <f>SUMPRODUCT(K238:K239,L238:L239)</f>
        <v>0.2</v>
      </c>
      <c r="M237" s="508"/>
      <c r="N237" s="3"/>
      <c r="O237" s="55">
        <f t="shared" ref="O237" si="178">SUMPRODUCT($K238:$K240,$L238:$L240,O238:O240)/SUMPRODUCT($K238:$K240,$L238:$L240)</f>
        <v>2597.5</v>
      </c>
      <c r="P237" s="57">
        <f t="shared" ref="P237" si="179">SUMPRODUCT($K238:$K240,$L238:$L240,P238:P240)/SUMPRODUCT($K238:$K240,$L238:$L240)</f>
        <v>0</v>
      </c>
      <c r="Q237" s="57">
        <f>SUMPRODUCT($K238:$K240,$L238:$L240,Q238:Q240)/SUMPRODUCT($K238:$K240,$L238:$L240)</f>
        <v>85.999999999999986</v>
      </c>
      <c r="R237" s="57">
        <f t="shared" ref="R237" si="180">SUMPRODUCT($K238:$K240,$L238:$L240,R238:R240)/SUMPRODUCT($K238:$K240,$L238:$L240)</f>
        <v>60.500000000000007</v>
      </c>
      <c r="S237" s="57">
        <f t="shared" ref="S237" si="181">SUMPRODUCT($K238:$K240,$L238:$L240,S238:S240)/SUMPRODUCT($K238:$K240,$L238:$L240)</f>
        <v>101.5</v>
      </c>
      <c r="T237" s="57">
        <f>SUMPRODUCT(T238:T240,$K238:$K240)</f>
        <v>0</v>
      </c>
      <c r="U237" s="454">
        <f>SUMPRODUCT(U238:U240,$K238:$K240)</f>
        <v>0.2</v>
      </c>
      <c r="V237" s="3"/>
      <c r="W237" s="3"/>
      <c r="X237" s="3"/>
      <c r="Y237" s="503">
        <f t="shared" si="140"/>
        <v>0</v>
      </c>
      <c r="Z237" s="1" t="s">
        <v>368</v>
      </c>
      <c r="AA237" s="504"/>
      <c r="AB237" s="504" t="str">
        <f t="shared" si="173"/>
        <v>TRANSMISSION</v>
      </c>
      <c r="AC237" s="504" t="str">
        <f t="shared" si="132"/>
        <v>Transmission arrière</v>
      </c>
      <c r="AD237" s="504" t="str">
        <f t="shared" si="133"/>
        <v/>
      </c>
      <c r="AE237" s="504" t="str">
        <f t="shared" si="134"/>
        <v xml:space="preserve">TRANSMISSION / Transmission arrière  / </v>
      </c>
      <c r="AF237" s="504"/>
      <c r="AH237" t="s">
        <v>639</v>
      </c>
      <c r="AL237" t="s">
        <v>640</v>
      </c>
    </row>
    <row r="238" spans="2:38" ht="15" customHeight="1" outlineLevel="2">
      <c r="B238" s="15"/>
      <c r="C238" s="14"/>
      <c r="D238" s="14" t="s">
        <v>817</v>
      </c>
      <c r="E238" s="14"/>
      <c r="F238" s="14" t="s">
        <v>818</v>
      </c>
      <c r="G238" s="14"/>
      <c r="H238" s="14"/>
      <c r="I238" s="28"/>
      <c r="K238" s="42">
        <v>1</v>
      </c>
      <c r="L238" s="106">
        <v>0.1</v>
      </c>
      <c r="M238" s="205">
        <f>IF('INPUT1 - Veh Geometry'!$G$77="Twisted beam",'UNSPRUNG Mass estimation'!F52,'UNSPRUNG Mass estimation'!G52)</f>
        <v>0.7</v>
      </c>
      <c r="N238" s="3"/>
      <c r="O238" s="446">
        <f>'INPUT1 - Veh Geometry'!H$72</f>
        <v>2597.5</v>
      </c>
      <c r="P238" s="10">
        <f>'INPUT1 - Veh Geometry'!I$61</f>
        <v>0</v>
      </c>
      <c r="Q238" s="10">
        <f>'INPUT1 - Veh Geometry'!J$72+10</f>
        <v>86</v>
      </c>
      <c r="R238" s="10">
        <f>$Q238+(-'INPUT1 - Veh Geometry'!$J$73+'INPUT1 - Veh Geometry'!$J$74)/2</f>
        <v>60.5</v>
      </c>
      <c r="S238" s="10">
        <f>$Q238+(-'INPUT1 - Veh Geometry'!$J$73+'INPUT1 - Veh Geometry'!$J$75)/2</f>
        <v>101.5</v>
      </c>
      <c r="T238" s="10">
        <f t="shared" ref="T238:T240" si="182">L238*K238-U238</f>
        <v>0</v>
      </c>
      <c r="U238" s="51">
        <f>IF(ISNUMBER(K238),L238*K238*(O238-$D$262)/E,)</f>
        <v>0.1</v>
      </c>
      <c r="V238" s="3"/>
      <c r="W238" s="3"/>
      <c r="X238" s="3"/>
      <c r="Y238" s="503">
        <f t="shared" si="140"/>
        <v>0.1</v>
      </c>
      <c r="Z238" s="1" t="s">
        <v>368</v>
      </c>
      <c r="AA238" s="505" t="s">
        <v>832</v>
      </c>
      <c r="AB238" s="504" t="str">
        <f t="shared" si="173"/>
        <v>TRANSMISSION</v>
      </c>
      <c r="AC238" s="504" t="str">
        <f t="shared" si="132"/>
        <v>Transmission arrière</v>
      </c>
      <c r="AD238" s="504" t="str">
        <f t="shared" si="133"/>
        <v>Cardan gauche</v>
      </c>
      <c r="AE238" s="504" t="str">
        <f t="shared" si="134"/>
        <v>TRANSMISSION / Transmission arrière  / Cardan gauche</v>
      </c>
      <c r="AF238" s="505"/>
      <c r="AH238" t="s">
        <v>820</v>
      </c>
      <c r="AL238" t="s">
        <v>821</v>
      </c>
    </row>
    <row r="239" spans="2:38" ht="15" customHeight="1" outlineLevel="2">
      <c r="B239" s="15"/>
      <c r="C239" s="14"/>
      <c r="D239" s="14" t="s">
        <v>822</v>
      </c>
      <c r="E239" s="14"/>
      <c r="F239" s="14" t="s">
        <v>823</v>
      </c>
      <c r="G239" s="14"/>
      <c r="H239" s="14"/>
      <c r="I239" s="28"/>
      <c r="K239" s="42">
        <v>1</v>
      </c>
      <c r="L239" s="106">
        <v>0.1</v>
      </c>
      <c r="M239" s="205">
        <f>IF('INPUT1 - Veh Geometry'!$G$77="Twisted beam",'UNSPRUNG Mass estimation'!F52,'UNSPRUNG Mass estimation'!G52)</f>
        <v>0.7</v>
      </c>
      <c r="N239" s="3"/>
      <c r="O239" s="446">
        <f>'INPUT1 - Veh Geometry'!H$72</f>
        <v>2597.5</v>
      </c>
      <c r="P239" s="10">
        <f>'INPUT1 - Veh Geometry'!I$61</f>
        <v>0</v>
      </c>
      <c r="Q239" s="10">
        <f>'INPUT1 - Veh Geometry'!J$72+10</f>
        <v>86</v>
      </c>
      <c r="R239" s="10">
        <f>$Q239+(-'INPUT1 - Veh Geometry'!$J$73+'INPUT1 - Veh Geometry'!$J$74)/2</f>
        <v>60.5</v>
      </c>
      <c r="S239" s="10">
        <f>$Q239+(-'INPUT1 - Veh Geometry'!$J$73+'INPUT1 - Veh Geometry'!$J$75)/2</f>
        <v>101.5</v>
      </c>
      <c r="T239" s="10">
        <f t="shared" si="182"/>
        <v>0</v>
      </c>
      <c r="U239" s="51">
        <f>IF(ISNUMBER(K239),L239*K239*(O239-$D$262)/E,)</f>
        <v>0.1</v>
      </c>
      <c r="V239" s="3"/>
      <c r="W239" s="3"/>
      <c r="X239" s="3"/>
      <c r="Y239" s="503">
        <f t="shared" si="140"/>
        <v>0.1</v>
      </c>
      <c r="Z239" s="1" t="s">
        <v>368</v>
      </c>
      <c r="AA239" s="505" t="s">
        <v>832</v>
      </c>
      <c r="AB239" s="504" t="str">
        <f t="shared" si="173"/>
        <v>TRANSMISSION</v>
      </c>
      <c r="AC239" s="504" t="str">
        <f t="shared" si="132"/>
        <v>Transmission arrière</v>
      </c>
      <c r="AD239" s="504" t="str">
        <f t="shared" si="133"/>
        <v>Cardan droit</v>
      </c>
      <c r="AE239" s="504" t="str">
        <f t="shared" si="134"/>
        <v>TRANSMISSION / Transmission arrière  / Cardan droit</v>
      </c>
      <c r="AF239" s="505"/>
      <c r="AH239" t="s">
        <v>820</v>
      </c>
      <c r="AL239" t="s">
        <v>821</v>
      </c>
    </row>
    <row r="240" spans="2:38" ht="15" customHeight="1" outlineLevel="2">
      <c r="B240" s="15"/>
      <c r="C240" s="14"/>
      <c r="D240" s="14" t="s">
        <v>826</v>
      </c>
      <c r="E240" s="14"/>
      <c r="F240" s="14" t="s">
        <v>827</v>
      </c>
      <c r="G240" s="14"/>
      <c r="H240" s="14"/>
      <c r="I240" s="28"/>
      <c r="K240" s="42"/>
      <c r="L240" s="106"/>
      <c r="M240" s="508"/>
      <c r="N240" s="3"/>
      <c r="O240" s="446">
        <f>'INPUT1 - Veh Geometry'!H$72</f>
        <v>2597.5</v>
      </c>
      <c r="P240" s="10">
        <f>'INPUT1 - Veh Geometry'!I$61</f>
        <v>0</v>
      </c>
      <c r="Q240" s="10">
        <f>'INPUT1 - Veh Geometry'!J$72</f>
        <v>76</v>
      </c>
      <c r="R240" s="10">
        <f>$Q240</f>
        <v>76</v>
      </c>
      <c r="S240" s="10">
        <f>$Q240</f>
        <v>76</v>
      </c>
      <c r="T240" s="10">
        <f t="shared" si="182"/>
        <v>0</v>
      </c>
      <c r="U240" s="51">
        <f>IF(ISNUMBER(K240),L240*K240*(O240-$D$262)/E,)</f>
        <v>0</v>
      </c>
      <c r="V240" s="3"/>
      <c r="W240" s="3"/>
      <c r="X240" s="3"/>
      <c r="Y240" s="503">
        <f t="shared" si="140"/>
        <v>0</v>
      </c>
      <c r="Z240" s="1" t="s">
        <v>368</v>
      </c>
      <c r="AA240" s="504"/>
      <c r="AB240" s="504" t="str">
        <f t="shared" si="173"/>
        <v>TRANSMISSION</v>
      </c>
      <c r="AC240" s="504" t="str">
        <f t="shared" si="132"/>
        <v>Transmission arrière</v>
      </c>
      <c r="AD240" s="504" t="str">
        <f t="shared" si="133"/>
        <v>Système différentiel</v>
      </c>
      <c r="AE240" s="504" t="str">
        <f t="shared" si="134"/>
        <v>TRANSMISSION / Transmission arrière  / Système différentiel</v>
      </c>
      <c r="AF240" s="504"/>
      <c r="AH240" t="s">
        <v>833</v>
      </c>
      <c r="AL240" t="s">
        <v>834</v>
      </c>
    </row>
    <row r="241" spans="2:38" ht="15" customHeight="1">
      <c r="B241" s="9" t="s">
        <v>835</v>
      </c>
      <c r="C241" s="8"/>
      <c r="D241" s="8"/>
      <c r="E241" s="8"/>
      <c r="F241" s="8" t="s">
        <v>836</v>
      </c>
      <c r="G241" s="8"/>
      <c r="H241" s="8"/>
      <c r="I241" s="29"/>
      <c r="K241" s="33"/>
      <c r="L241" s="22">
        <f>SUMPRODUCT(K242:K242,L242:L242)</f>
        <v>3.4</v>
      </c>
      <c r="M241" s="203"/>
      <c r="O241" s="33">
        <f>SUMPRODUCT($K242:$K242,$L242:$L242,O242:O242)/$L241</f>
        <v>2597.5</v>
      </c>
      <c r="P241" s="23">
        <f t="shared" ref="P241" si="183">SUMPRODUCT($K242:$K242,$L242:$L242,P242:P242)/$L241</f>
        <v>0</v>
      </c>
      <c r="Q241" s="23">
        <f t="shared" ref="Q241" si="184">SUMPRODUCT($K242:$K242,$L242:$L242,Q242:Q242)/$L241</f>
        <v>1031.8</v>
      </c>
      <c r="R241" s="23">
        <f t="shared" ref="R241" si="185">SUMPRODUCT($K242:$K242,$L242:$L242,R242:R242)/$L241</f>
        <v>1031.8</v>
      </c>
      <c r="S241" s="23">
        <f t="shared" ref="S241" si="186">SUMPRODUCT($K242:$K242,$L242:$L242,S242:S242)/$L241</f>
        <v>1031.8</v>
      </c>
      <c r="T241" s="22">
        <f>SUM(T242:T242)</f>
        <v>0</v>
      </c>
      <c r="U241" s="32">
        <f>SUMIF($K242:$K242,"&gt;0",$U242:$U242)</f>
        <v>3.4</v>
      </c>
      <c r="V241" s="3"/>
      <c r="W241" s="3"/>
      <c r="X241" s="3"/>
      <c r="Y241" s="503">
        <f t="shared" si="140"/>
        <v>0</v>
      </c>
      <c r="Z241" s="1" t="s">
        <v>334</v>
      </c>
      <c r="AA241" s="504"/>
      <c r="AB241" s="504" t="str">
        <f t="shared" si="173"/>
        <v>VITRAGE CAISSE (custode)</v>
      </c>
      <c r="AC241" s="504" t="str">
        <f t="shared" si="132"/>
        <v>Transmission arrière</v>
      </c>
      <c r="AD241" s="504" t="str">
        <f t="shared" si="133"/>
        <v/>
      </c>
      <c r="AE241" s="504" t="str">
        <f t="shared" si="134"/>
        <v xml:space="preserve">VITRAGE CAISSE (custode) / Transmission arrière  / </v>
      </c>
      <c r="AF241" s="504"/>
    </row>
    <row r="242" spans="2:38" ht="15" customHeight="1" outlineLevel="1">
      <c r="B242" s="47"/>
      <c r="C242" s="35" t="s">
        <v>837</v>
      </c>
      <c r="D242" s="35"/>
      <c r="E242" s="35"/>
      <c r="F242" s="35" t="s">
        <v>836</v>
      </c>
      <c r="G242" s="35"/>
      <c r="H242" s="35"/>
      <c r="I242" s="102"/>
      <c r="K242" s="42">
        <v>1</v>
      </c>
      <c r="L242" s="106">
        <v>3.4</v>
      </c>
      <c r="M242" s="508"/>
      <c r="N242" s="3"/>
      <c r="O242" s="446">
        <f>'INPUT1 - Veh Geometry'!H$72</f>
        <v>2597.5</v>
      </c>
      <c r="P242" s="10">
        <v>0</v>
      </c>
      <c r="Q242" s="10">
        <f>'INPUT1 - Veh Geometry'!$J$46+500</f>
        <v>1031.8</v>
      </c>
      <c r="R242" s="10">
        <f t="shared" ref="R242:S242" si="187">$Q242</f>
        <v>1031.8</v>
      </c>
      <c r="S242" s="10">
        <f t="shared" si="187"/>
        <v>1031.8</v>
      </c>
      <c r="T242" s="10">
        <f t="shared" ref="T242" si="188">L242*K242-U242</f>
        <v>0</v>
      </c>
      <c r="U242" s="51">
        <f>IF(ISNUMBER(K242),L242*K242*(O242-$D$262)/E,)</f>
        <v>3.4</v>
      </c>
      <c r="V242" s="3"/>
      <c r="W242" s="3"/>
      <c r="X242" s="3"/>
      <c r="Y242" s="503">
        <f t="shared" si="140"/>
        <v>3.4</v>
      </c>
      <c r="Z242" s="1" t="s">
        <v>334</v>
      </c>
      <c r="AA242" s="504"/>
      <c r="AB242" s="504" t="str">
        <f t="shared" si="173"/>
        <v>VITRAGE CAISSE (custode)</v>
      </c>
      <c r="AC242" s="504" t="str">
        <f t="shared" si="132"/>
        <v>Vitre custode</v>
      </c>
      <c r="AD242" s="504" t="str">
        <f t="shared" si="133"/>
        <v/>
      </c>
      <c r="AE242" s="504" t="str">
        <f t="shared" si="134"/>
        <v xml:space="preserve">VITRAGE CAISSE (custode) / Vitre custode  / </v>
      </c>
      <c r="AF242" s="504"/>
      <c r="AH242" t="s">
        <v>838</v>
      </c>
      <c r="AL242" t="s">
        <v>839</v>
      </c>
    </row>
    <row r="243" spans="2:38" ht="15" customHeight="1">
      <c r="B243" s="9" t="s">
        <v>840</v>
      </c>
      <c r="C243" s="8"/>
      <c r="D243" s="8"/>
      <c r="E243" s="8"/>
      <c r="F243" s="8" t="s">
        <v>841</v>
      </c>
      <c r="G243" s="8"/>
      <c r="H243" s="8"/>
      <c r="I243" s="29"/>
      <c r="K243" s="33"/>
      <c r="L243" s="22">
        <f>SUMPRODUCT(K244:K244,L244:L244)</f>
        <v>0.9</v>
      </c>
      <c r="M243" s="203"/>
      <c r="O243" s="33">
        <f>SUMPRODUCT($K244:$K244,$L244:$L244,O244:O244)/$L243</f>
        <v>896</v>
      </c>
      <c r="P243" s="23">
        <f t="shared" ref="P243" si="189">SUMPRODUCT($K244:$K244,$L244:$L244,P244:P244)/$L243</f>
        <v>-355</v>
      </c>
      <c r="Q243" s="23">
        <f t="shared" ref="Q243" si="190">SUMPRODUCT($K244:$K244,$L244:$L244,Q244:Q244)/$L243</f>
        <v>725</v>
      </c>
      <c r="R243" s="23">
        <f t="shared" ref="R243" si="191">SUMPRODUCT($K244:$K244,$L244:$L244,R244:R244)/$L243</f>
        <v>725</v>
      </c>
      <c r="S243" s="23">
        <f t="shared" ref="S243" si="192">SUMPRODUCT($K244:$K244,$L244:$L244,S244:S244)/$L243</f>
        <v>725</v>
      </c>
      <c r="T243" s="22">
        <f>SUM(T244:T244)</f>
        <v>0.5800568181818182</v>
      </c>
      <c r="U243" s="32">
        <f>SUMIF($K244:$K244,"&gt;0",$U244:$U244)</f>
        <v>0.31994318181818182</v>
      </c>
      <c r="V243" s="3"/>
      <c r="W243" s="3"/>
      <c r="X243" s="3"/>
      <c r="Y243" s="503">
        <f t="shared" si="140"/>
        <v>0</v>
      </c>
      <c r="Z243" s="1" t="s">
        <v>345</v>
      </c>
      <c r="AA243" s="504"/>
      <c r="AB243" s="504" t="str">
        <f t="shared" si="173"/>
        <v>VOLANT</v>
      </c>
      <c r="AC243" s="504" t="str">
        <f t="shared" si="132"/>
        <v>Vitre custode</v>
      </c>
      <c r="AD243" s="504" t="str">
        <f t="shared" si="133"/>
        <v/>
      </c>
      <c r="AE243" s="504" t="str">
        <f t="shared" si="134"/>
        <v xml:space="preserve">VOLANT / Vitre custode  / </v>
      </c>
      <c r="AF243" s="504"/>
    </row>
    <row r="244" spans="2:38" ht="15" customHeight="1" outlineLevel="1" thickBot="1">
      <c r="B244" s="103"/>
      <c r="C244" s="104" t="s">
        <v>842</v>
      </c>
      <c r="D244" s="104"/>
      <c r="E244" s="104"/>
      <c r="F244" s="104" t="s">
        <v>841</v>
      </c>
      <c r="G244" s="104"/>
      <c r="H244" s="104"/>
      <c r="I244" s="105"/>
      <c r="K244" s="107">
        <v>1</v>
      </c>
      <c r="L244" s="196">
        <v>0.9</v>
      </c>
      <c r="M244" s="509"/>
      <c r="N244" s="3"/>
      <c r="O244" s="451">
        <f>'INPUT1 - Veh Geometry'!H45-50</f>
        <v>896</v>
      </c>
      <c r="P244" s="108">
        <f>'INPUT1 - Veh Geometry'!I42</f>
        <v>-355</v>
      </c>
      <c r="Q244" s="108">
        <f>'INPUT1 - Veh Geometry'!J45-25</f>
        <v>725</v>
      </c>
      <c r="R244" s="108">
        <f t="shared" ref="R244:S244" si="193">$Q244</f>
        <v>725</v>
      </c>
      <c r="S244" s="108">
        <f t="shared" si="193"/>
        <v>725</v>
      </c>
      <c r="T244" s="108">
        <f t="shared" ref="T244" si="194">L244*K244-U244</f>
        <v>0.5800568181818182</v>
      </c>
      <c r="U244" s="109">
        <f>IF(ISNUMBER(K244),L244*K244*(O244-$D$262)/E,)</f>
        <v>0.31994318181818182</v>
      </c>
      <c r="V244" s="3"/>
      <c r="W244" s="3"/>
      <c r="X244" s="3"/>
      <c r="Y244" s="503">
        <f t="shared" ref="Y244" si="195">IF(ISNUMBER(K244),L244*K244,0)</f>
        <v>0.9</v>
      </c>
      <c r="Z244" s="1" t="s">
        <v>345</v>
      </c>
      <c r="AA244" s="504"/>
      <c r="AB244" s="504" t="str">
        <f t="shared" si="173"/>
        <v>VOLANT</v>
      </c>
      <c r="AC244" s="504" t="str">
        <f t="shared" si="132"/>
        <v>Volant</v>
      </c>
      <c r="AD244" s="504" t="str">
        <f t="shared" si="133"/>
        <v/>
      </c>
      <c r="AE244" s="504" t="str">
        <f t="shared" si="134"/>
        <v xml:space="preserve">VOLANT / Volant  / </v>
      </c>
      <c r="AF244" s="504"/>
      <c r="AH244" t="s">
        <v>843</v>
      </c>
      <c r="AL244" t="s">
        <v>844</v>
      </c>
    </row>
    <row r="245" spans="2:38" ht="7.9" customHeight="1" thickBot="1">
      <c r="K245" s="206"/>
      <c r="L245" s="207"/>
      <c r="M245" s="141"/>
      <c r="N245" s="3"/>
      <c r="O245" s="206"/>
      <c r="P245" s="206"/>
      <c r="Q245" s="206"/>
      <c r="R245" s="206"/>
      <c r="S245" s="206"/>
      <c r="T245" s="511"/>
      <c r="U245" s="511"/>
      <c r="Y245" s="502"/>
      <c r="Z245" s="1"/>
      <c r="AA245" s="504"/>
      <c r="AB245" s="504"/>
      <c r="AC245" s="504"/>
      <c r="AD245" s="504"/>
      <c r="AE245" s="504"/>
      <c r="AF245" s="504"/>
    </row>
    <row r="246" spans="2:38" ht="10.5" customHeight="1" outlineLevel="1" thickBot="1">
      <c r="B246" s="350"/>
      <c r="C246" s="351"/>
      <c r="D246" s="351"/>
      <c r="E246" s="351"/>
      <c r="F246" s="351"/>
      <c r="G246" s="351"/>
      <c r="H246" s="351"/>
      <c r="I246" s="352"/>
      <c r="K246" s="353"/>
      <c r="L246" s="354"/>
      <c r="M246" s="510"/>
      <c r="N246" s="3"/>
      <c r="O246" s="359"/>
      <c r="P246" s="360"/>
      <c r="Q246" s="360"/>
      <c r="R246" s="360"/>
      <c r="S246" s="360"/>
      <c r="T246" s="360"/>
      <c r="U246" s="361"/>
      <c r="Y246" s="503"/>
      <c r="Z246" s="1"/>
      <c r="AA246" s="504"/>
      <c r="AB246" s="504"/>
      <c r="AC246" s="504"/>
      <c r="AD246" s="504"/>
      <c r="AE246" s="504"/>
      <c r="AF246" s="504"/>
    </row>
    <row r="247" spans="2:38" ht="15" customHeight="1" outlineLevel="1">
      <c r="B247" s="356" t="s">
        <v>845</v>
      </c>
      <c r="C247" s="8"/>
      <c r="D247" s="8"/>
      <c r="E247" s="8"/>
      <c r="F247" s="8" t="s">
        <v>841</v>
      </c>
      <c r="G247" s="8"/>
      <c r="H247" s="8"/>
      <c r="I247" s="29"/>
      <c r="K247" s="33"/>
      <c r="L247" s="22">
        <f>SUMPRODUCT(K248:K252,L248:L252)</f>
        <v>0</v>
      </c>
      <c r="M247" s="203"/>
      <c r="O247" s="33" t="str">
        <f>IF($L$247=0,"0",SUMPRODUCT($K248:$K252,$L248:$L252,O248:O252)/$L247)</f>
        <v>0</v>
      </c>
      <c r="P247" s="23" t="str">
        <f t="shared" ref="P247:S247" si="196">IF($L$247=0,"0",SUMPRODUCT($K248:$K252,$L248:$L252,P248:P252)/$L247)</f>
        <v>0</v>
      </c>
      <c r="Q247" s="23" t="str">
        <f t="shared" si="196"/>
        <v>0</v>
      </c>
      <c r="R247" s="23" t="str">
        <f t="shared" si="196"/>
        <v>0</v>
      </c>
      <c r="S247" s="23" t="str">
        <f t="shared" si="196"/>
        <v>0</v>
      </c>
      <c r="T247" s="22">
        <f>SUMPRODUCT(T252:T252,K252:K252)</f>
        <v>0</v>
      </c>
      <c r="U247" s="32">
        <f>SUMIF($K248:$K252,"&gt;0",$U248:$U252)</f>
        <v>0</v>
      </c>
      <c r="V247" s="3"/>
      <c r="W247" s="3"/>
      <c r="Y247" s="503">
        <f t="shared" ref="Y247:Y252" si="197">IF(ISNUMBER(K247),L247*K247,0)</f>
        <v>0</v>
      </c>
      <c r="Z247" s="1"/>
      <c r="AA247" s="504"/>
      <c r="AB247" s="504"/>
      <c r="AC247" s="504"/>
      <c r="AD247" s="504"/>
      <c r="AE247" s="504"/>
      <c r="AF247" s="504"/>
      <c r="AH247" t="s">
        <v>843</v>
      </c>
      <c r="AL247" t="s">
        <v>844</v>
      </c>
    </row>
    <row r="248" spans="2:38" ht="15" customHeight="1" outlineLevel="1">
      <c r="B248" s="47"/>
      <c r="C248" s="35" t="s">
        <v>846</v>
      </c>
      <c r="D248" s="35"/>
      <c r="E248" s="35"/>
      <c r="F248" s="35" t="s">
        <v>846</v>
      </c>
      <c r="G248" s="35"/>
      <c r="H248" s="35"/>
      <c r="I248" s="102"/>
      <c r="K248" s="42">
        <v>1</v>
      </c>
      <c r="L248" s="106">
        <v>0</v>
      </c>
      <c r="M248" s="508"/>
      <c r="N248" s="3"/>
      <c r="O248" s="42">
        <v>1000</v>
      </c>
      <c r="P248" s="355">
        <v>1000</v>
      </c>
      <c r="Q248" s="355">
        <v>1000</v>
      </c>
      <c r="R248" s="355">
        <v>1000</v>
      </c>
      <c r="S248" s="355">
        <v>1000</v>
      </c>
      <c r="T248" s="10">
        <f t="shared" ref="T248:T249" si="198">L248*K248-U248</f>
        <v>0</v>
      </c>
      <c r="U248" s="51">
        <f>IF(ISNUMBER(K248),L248*K248*(O248-$D$262)/E,)</f>
        <v>0</v>
      </c>
      <c r="Y248" s="503">
        <f t="shared" ref="Y248:Y249" si="199">IF(ISNUMBER(K248),L248*K248,0)</f>
        <v>0</v>
      </c>
      <c r="Z248" s="1" t="s">
        <v>847</v>
      </c>
      <c r="AA248" s="504"/>
      <c r="AB248" s="504"/>
      <c r="AC248" s="504"/>
      <c r="AD248" s="504"/>
      <c r="AE248" s="504"/>
      <c r="AF248" s="504"/>
    </row>
    <row r="249" spans="2:38" ht="15" customHeight="1" outlineLevel="1">
      <c r="B249" s="47"/>
      <c r="C249" s="35" t="s">
        <v>846</v>
      </c>
      <c r="D249" s="35"/>
      <c r="E249" s="35"/>
      <c r="F249" s="35" t="s">
        <v>846</v>
      </c>
      <c r="G249" s="35"/>
      <c r="H249" s="35"/>
      <c r="I249" s="102"/>
      <c r="K249" s="42">
        <v>1</v>
      </c>
      <c r="L249" s="106">
        <v>0</v>
      </c>
      <c r="M249" s="508"/>
      <c r="N249" s="3"/>
      <c r="O249" s="42">
        <v>1000</v>
      </c>
      <c r="P249" s="355">
        <v>1000</v>
      </c>
      <c r="Q249" s="355">
        <v>1000</v>
      </c>
      <c r="R249" s="355">
        <v>1000</v>
      </c>
      <c r="S249" s="355">
        <v>1000</v>
      </c>
      <c r="T249" s="10">
        <f t="shared" si="198"/>
        <v>0</v>
      </c>
      <c r="U249" s="51">
        <f>IF(ISNUMBER(K249),L249*K249*(O249-$D$262)/E,)</f>
        <v>0</v>
      </c>
      <c r="Y249" s="503">
        <f t="shared" si="199"/>
        <v>0</v>
      </c>
      <c r="Z249" s="1" t="s">
        <v>847</v>
      </c>
      <c r="AA249" s="504"/>
      <c r="AB249" s="504"/>
      <c r="AC249" s="504"/>
      <c r="AD249" s="504"/>
      <c r="AE249" s="504"/>
      <c r="AF249" s="504"/>
    </row>
    <row r="250" spans="2:38" ht="15" customHeight="1" outlineLevel="1">
      <c r="B250" s="47"/>
      <c r="C250" s="35" t="s">
        <v>846</v>
      </c>
      <c r="D250" s="35"/>
      <c r="E250" s="35"/>
      <c r="F250" s="35" t="s">
        <v>846</v>
      </c>
      <c r="G250" s="35"/>
      <c r="H250" s="35"/>
      <c r="I250" s="102"/>
      <c r="K250" s="42">
        <v>1</v>
      </c>
      <c r="L250" s="106">
        <v>0</v>
      </c>
      <c r="M250" s="508"/>
      <c r="N250" s="3"/>
      <c r="O250" s="42">
        <v>1000</v>
      </c>
      <c r="P250" s="355">
        <v>1000</v>
      </c>
      <c r="Q250" s="355">
        <v>1000</v>
      </c>
      <c r="R250" s="355">
        <v>1000</v>
      </c>
      <c r="S250" s="355">
        <v>1000</v>
      </c>
      <c r="T250" s="10">
        <f t="shared" ref="T250" si="200">L250*K250-U250</f>
        <v>0</v>
      </c>
      <c r="U250" s="51">
        <f>IF(ISNUMBER(K250),L250*K250*(O250-$D$262)/E,)</f>
        <v>0</v>
      </c>
      <c r="Y250" s="503">
        <f t="shared" si="197"/>
        <v>0</v>
      </c>
      <c r="Z250" s="1" t="s">
        <v>847</v>
      </c>
      <c r="AA250" s="504"/>
      <c r="AB250" s="504"/>
      <c r="AC250" s="504"/>
      <c r="AD250" s="504"/>
      <c r="AE250" s="504"/>
      <c r="AF250" s="504"/>
    </row>
    <row r="251" spans="2:38" ht="15" customHeight="1" outlineLevel="1">
      <c r="B251" s="47"/>
      <c r="C251" s="35" t="s">
        <v>846</v>
      </c>
      <c r="D251" s="35"/>
      <c r="E251" s="35"/>
      <c r="F251" s="35" t="s">
        <v>846</v>
      </c>
      <c r="G251" s="35"/>
      <c r="H251" s="35"/>
      <c r="I251" s="102"/>
      <c r="K251" s="42">
        <v>1</v>
      </c>
      <c r="L251" s="106">
        <v>0</v>
      </c>
      <c r="M251" s="508"/>
      <c r="N251" s="3"/>
      <c r="O251" s="42">
        <v>1000</v>
      </c>
      <c r="P251" s="355">
        <v>1000</v>
      </c>
      <c r="Q251" s="355">
        <v>1000</v>
      </c>
      <c r="R251" s="355">
        <v>1000</v>
      </c>
      <c r="S251" s="355">
        <v>1000</v>
      </c>
      <c r="T251" s="10">
        <f t="shared" ref="T251" si="201">L251*K251-U251</f>
        <v>0</v>
      </c>
      <c r="U251" s="51">
        <f>IF(ISNUMBER(K251),L251*K251*(O251-$D$262)/E,)</f>
        <v>0</v>
      </c>
      <c r="Y251" s="503">
        <f t="shared" ref="Y251" si="202">IF(ISNUMBER(K251),L251*K251,0)</f>
        <v>0</v>
      </c>
      <c r="Z251" s="1" t="s">
        <v>847</v>
      </c>
      <c r="AA251" s="504"/>
      <c r="AB251" s="504"/>
      <c r="AC251" s="504"/>
      <c r="AD251" s="504"/>
      <c r="AE251" s="504"/>
      <c r="AF251" s="504"/>
    </row>
    <row r="252" spans="2:38" ht="15" customHeight="1" outlineLevel="1" thickBot="1">
      <c r="B252" s="103"/>
      <c r="C252" s="104" t="s">
        <v>846</v>
      </c>
      <c r="D252" s="104"/>
      <c r="E252" s="104"/>
      <c r="F252" s="104" t="s">
        <v>846</v>
      </c>
      <c r="G252" s="104"/>
      <c r="H252" s="104"/>
      <c r="I252" s="105"/>
      <c r="K252" s="107">
        <v>1</v>
      </c>
      <c r="L252" s="196">
        <v>0</v>
      </c>
      <c r="M252" s="509"/>
      <c r="N252" s="3"/>
      <c r="O252" s="107">
        <v>1000</v>
      </c>
      <c r="P252" s="357">
        <v>1000</v>
      </c>
      <c r="Q252" s="357">
        <v>1000</v>
      </c>
      <c r="R252" s="357">
        <v>1000</v>
      </c>
      <c r="S252" s="357">
        <v>1000</v>
      </c>
      <c r="T252" s="108">
        <f t="shared" ref="T252" si="203">L252*K252-U252</f>
        <v>0</v>
      </c>
      <c r="U252" s="109">
        <f>IF(ISNUMBER(K252),L252*K252*(O252-$D$262)/E,)</f>
        <v>0</v>
      </c>
      <c r="Y252" s="503">
        <f t="shared" si="197"/>
        <v>0</v>
      </c>
      <c r="Z252" s="1" t="s">
        <v>847</v>
      </c>
      <c r="AA252" s="504"/>
      <c r="AB252" s="504"/>
      <c r="AC252" s="504"/>
      <c r="AD252" s="504"/>
      <c r="AE252" s="504"/>
      <c r="AF252" s="504"/>
    </row>
    <row r="253" spans="2:38" ht="15" customHeight="1">
      <c r="AI253" t="s">
        <v>848</v>
      </c>
    </row>
    <row r="258" spans="2:39" ht="19.149999999999999" customHeight="1">
      <c r="B258" s="198" t="s">
        <v>194</v>
      </c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8"/>
      <c r="N258" s="37"/>
      <c r="O258" s="37"/>
      <c r="P258" s="38"/>
      <c r="Q258" s="38"/>
      <c r="R258" s="38"/>
      <c r="S258" s="38"/>
      <c r="T258" s="39"/>
      <c r="U258" s="39"/>
      <c r="V258" s="37"/>
      <c r="W258" s="37"/>
      <c r="X258" s="37"/>
      <c r="Y258" s="37"/>
      <c r="Z258" s="38"/>
      <c r="AA258" s="188"/>
      <c r="AB258" s="188"/>
      <c r="AC258" s="188"/>
      <c r="AD258" s="188"/>
      <c r="AE258" s="188"/>
      <c r="AF258" s="188"/>
      <c r="AG258" s="37"/>
      <c r="AH258" s="37"/>
      <c r="AI258" s="37"/>
      <c r="AJ258" s="37"/>
      <c r="AK258" s="37"/>
      <c r="AL258" s="37"/>
      <c r="AM258" s="37"/>
    </row>
    <row r="259" spans="2:39" ht="7.9" customHeight="1"/>
    <row r="260" spans="2:39" ht="15" customHeight="1">
      <c r="B260" s="189" t="s">
        <v>849</v>
      </c>
      <c r="C260" s="37"/>
      <c r="D260" s="37"/>
      <c r="E260" s="37"/>
      <c r="F260" s="37"/>
      <c r="G260" s="37"/>
      <c r="H260" s="37"/>
      <c r="I260" s="37"/>
      <c r="J260" s="37"/>
      <c r="K260" s="37"/>
      <c r="L260" s="38"/>
      <c r="M260" s="38"/>
      <c r="N260" s="37"/>
      <c r="O260" s="38"/>
      <c r="P260" s="38"/>
      <c r="Q260" s="38"/>
      <c r="R260" s="38"/>
      <c r="S260" s="38"/>
      <c r="T260" s="39"/>
      <c r="U260" s="39"/>
    </row>
    <row r="261" spans="2:39" ht="15" customHeight="1">
      <c r="B261" s="1" t="s">
        <v>850</v>
      </c>
      <c r="C261" s="2"/>
      <c r="D261" s="1" t="s">
        <v>851</v>
      </c>
      <c r="E261" s="2"/>
      <c r="F261" s="1" t="s">
        <v>852</v>
      </c>
      <c r="G261" s="2"/>
      <c r="H261" s="1" t="s">
        <v>853</v>
      </c>
    </row>
    <row r="262" spans="2:39" ht="15" customHeight="1">
      <c r="B262" s="211">
        <f>'INPUT1 - Veh Geometry'!H33</f>
        <v>2640</v>
      </c>
      <c r="C262" s="2"/>
      <c r="D262" s="211">
        <f>'INPUT1 - Veh Geometry'!H61</f>
        <v>-42.5</v>
      </c>
      <c r="E262" s="2"/>
      <c r="F262" s="211">
        <f>'INPUT1 - Veh Geometry'!J61</f>
        <v>67</v>
      </c>
      <c r="G262" s="2"/>
      <c r="H262" s="211">
        <f>'INPUT1 - Veh Geometry'!J72</f>
        <v>76</v>
      </c>
    </row>
    <row r="265" spans="2:39" ht="15" customHeight="1">
      <c r="B265" s="189" t="s">
        <v>854</v>
      </c>
      <c r="C265" s="37"/>
      <c r="D265" s="37"/>
      <c r="E265" s="37"/>
      <c r="F265" s="37"/>
      <c r="G265" s="37"/>
      <c r="H265" s="37"/>
      <c r="I265" s="37"/>
      <c r="J265" s="37"/>
      <c r="K265" s="37"/>
      <c r="L265" s="38"/>
      <c r="M265" s="38"/>
      <c r="N265" s="37"/>
      <c r="O265" s="38"/>
      <c r="P265" s="38"/>
      <c r="Q265" s="38"/>
      <c r="R265" s="38"/>
      <c r="S265" s="38"/>
      <c r="T265" s="39"/>
      <c r="U265" s="39"/>
    </row>
    <row r="266" spans="2:39" s="194" customFormat="1" ht="46.15" customHeight="1">
      <c r="D266" s="240" t="s">
        <v>855</v>
      </c>
      <c r="E266" s="195"/>
      <c r="F266" s="240" t="s">
        <v>856</v>
      </c>
      <c r="G266" s="195"/>
      <c r="H266" s="240" t="s">
        <v>857</v>
      </c>
      <c r="L266" s="148"/>
      <c r="M266" s="148"/>
      <c r="O266" s="240" t="s">
        <v>858</v>
      </c>
      <c r="P266" s="148"/>
      <c r="Q266" s="240" t="s">
        <v>859</v>
      </c>
      <c r="R266" s="241"/>
      <c r="S266" s="255" t="s">
        <v>860</v>
      </c>
      <c r="T266" s="255" t="s">
        <v>861</v>
      </c>
      <c r="U266" s="255" t="s">
        <v>862</v>
      </c>
      <c r="Z266" s="148"/>
      <c r="AA266" s="242"/>
      <c r="AB266" s="242"/>
      <c r="AC266" s="242"/>
      <c r="AD266" s="242"/>
      <c r="AE266" s="242"/>
      <c r="AF266" s="242"/>
    </row>
    <row r="267" spans="2:39" ht="28.5" customHeight="1">
      <c r="B267" s="246" t="s">
        <v>863</v>
      </c>
      <c r="C267" s="247"/>
      <c r="D267" s="247"/>
      <c r="E267" s="247"/>
      <c r="F267" s="247"/>
      <c r="G267" s="247"/>
      <c r="H267" s="247"/>
      <c r="I267" s="247"/>
      <c r="J267" s="248"/>
      <c r="K267" s="248"/>
      <c r="L267" s="247"/>
      <c r="M267" s="247"/>
      <c r="N267" s="248"/>
      <c r="O267" s="247"/>
      <c r="P267" s="247"/>
      <c r="Q267" s="247"/>
      <c r="R267" s="247"/>
      <c r="S267" s="249"/>
      <c r="T267" s="249"/>
      <c r="U267" s="250"/>
    </row>
    <row r="268" spans="2:39" ht="23.65" customHeight="1">
      <c r="B268" s="209" t="s">
        <v>864</v>
      </c>
      <c r="C268" s="286"/>
      <c r="D268" s="213">
        <f>'UNSPRUNG Mass estimation'!I31</f>
        <v>109.94</v>
      </c>
      <c r="E268" s="289"/>
      <c r="F268" s="213">
        <f>D268-H268</f>
        <v>110.55151515151515</v>
      </c>
      <c r="G268" s="289"/>
      <c r="H268" s="213">
        <f>D268*(O268-$D$262)/E</f>
        <v>-0.61151515151515168</v>
      </c>
      <c r="I268" s="286"/>
      <c r="J268" s="286"/>
      <c r="K268" s="286"/>
      <c r="L268" s="287"/>
      <c r="M268" s="287"/>
      <c r="N268" s="286"/>
      <c r="O268" s="199">
        <f>(PRODUCT(K157:O157)+PRODUCT(K158:O158)+PRODUCT(K159:O159)+PRODUCT(K189:O189)+PRODUCT(K198:O198)+PRODUCT(K200:O200)+PRODUCT(K202:O202)+PRODUCT(K203:O203)+PRODUCT(K204:O204)+PRODUCT(K233:O233)+PRODUCT(K234:O234))/D268</f>
        <v>-57.184373294524292</v>
      </c>
      <c r="P268" s="287"/>
      <c r="Q268" s="199">
        <v>0</v>
      </c>
      <c r="R268" s="287"/>
      <c r="S268" s="199">
        <f>(PRODUCT(K157:M157,Q157)+PRODUCT(K158:M158,Q158)+PRODUCT(K159:M159,Q159)+PRODUCT(K189:M189,Q189)+PRODUCT(K198:M198,Q198)+PRODUCT(K200:M200,Q200)+PRODUCT(K202:M202,Q202)+PRODUCT(K203:M203,Q203)+PRODUCT(K204:M204,Q204)+PRODUCT(K233:M233,Q233)+PRODUCT(K234:M234,Q234))/D268</f>
        <v>110.34131344369659</v>
      </c>
      <c r="T268" s="199">
        <f>(PRODUCT(K157:M157,R157)+PRODUCT(K158:M158,R158)+PRODUCT(K159:M159,R159)+PRODUCT(K189:M189,R189)+PRODUCT(K198:M198,R198)+PRODUCT(K200:M200,R200)+PRODUCT(K202:M202,R202)+PRODUCT(K203:M203,R203)+PRODUCT(K204:M204,R204)+PRODUCT(K233:M233,R233)+PRODUCT(K234:M234,R234))/D268</f>
        <v>92.163398217209362</v>
      </c>
      <c r="U268" s="199">
        <f>(PRODUCT(K157:M157,S157)+PRODUCT(K158:M158,S158)+PRODUCT(K159:M159,S159)+PRODUCT(K189:M189,S189)+PRODUCT(K198:M198,S198)+PRODUCT(K200:M200,S200)+PRODUCT(K202:M202,S202)+PRODUCT(K203:M203,S203)+PRODUCT(K204:M204,S204)+PRODUCT(K233:M233,S233)+PRODUCT(K234:M234,S234))/D268</f>
        <v>113.64638893942148</v>
      </c>
    </row>
    <row r="269" spans="2:39" ht="23.65" customHeight="1">
      <c r="B269" s="192" t="s">
        <v>865</v>
      </c>
      <c r="C269" s="221"/>
      <c r="D269" s="213">
        <f>'UNSPRUNG Mass estimation'!I49</f>
        <v>101.34399999999999</v>
      </c>
      <c r="E269" s="221"/>
      <c r="F269" s="213">
        <f>D269-H269</f>
        <v>-3.0636837121212039</v>
      </c>
      <c r="G269" s="221"/>
      <c r="H269" s="213">
        <f>D269*(O269-$D$262)/E</f>
        <v>104.4076837121212</v>
      </c>
      <c r="I269" s="221"/>
      <c r="J269" s="221"/>
      <c r="K269" s="221"/>
      <c r="L269" s="59"/>
      <c r="M269" s="59"/>
      <c r="N269" s="221"/>
      <c r="O269" s="199">
        <f>(PRODUCT(K153:O153)+PRODUCT(K154:O154)+PRODUCT(K155:O155)+PRODUCT(K188:O188)+PRODUCT(K191:O191)+PRODUCT(K193:O193)+PRODUCT(K194:O194)+PRODUCT(K195:O195)+PRODUCT(K196:O196)+PRODUCT(K238:O238)+PRODUCT(K239:O239))/D269</f>
        <v>2677.3086221187241</v>
      </c>
      <c r="P269" s="59"/>
      <c r="Q269" s="199">
        <v>0</v>
      </c>
      <c r="R269" s="59"/>
      <c r="S269" s="199">
        <f>(PRODUCT(K153:M153,Q153)+PRODUCT(K154:M154,Q154)+PRODUCT(K155:M155,Q155)+PRODUCT(K188:M188,Q188)+PRODUCT(K191:M191,Q191)+PRODUCT(K193:M193,Q193)+PRODUCT(K194:M194,Q194)+PRODUCT(K195:M195,Q195)+PRODUCT(K196:M196,Q196)+PRODUCT(K238:M238,Q238)+PRODUCT(K239:M239,Q239))/D269</f>
        <v>78.236442216608793</v>
      </c>
      <c r="T269" s="199">
        <f>(PRODUCT(K153:M153,R153)+PRODUCT(K154:M154,R154)+PRODUCT(K155:M155,R155)+PRODUCT(K188:M188,R188)+PRODUCT(K191:M191,R191)+PRODUCT(K193:M193,R193)+PRODUCT(K194:M194,R194)+PRODUCT(K195:M195,R195)+PRODUCT(K196:M196,R196)+PRODUCT(K238:M238,R238)+PRODUCT(K239:M239,R239))/D269</f>
        <v>38.051246250394705</v>
      </c>
      <c r="U269" s="245">
        <f>(PRODUCT(K153:M153,S153)+PRODUCT(K154:M154,S154)+PRODUCT(K155:M155,S155)+PRODUCT(K188:M188,S188)+PRODUCT(K191:M191,S191)+PRODUCT(K193:M193,S193)+PRODUCT(K194:M194,S194)+PRODUCT(K195:M195,S195)+PRODUCT(K196:M196,S196)+PRODUCT(K238:M238,S238)+PRODUCT(K239:M239,S239))/D269</f>
        <v>102.66273780391539</v>
      </c>
    </row>
    <row r="270" spans="2:39" ht="7.9" customHeight="1">
      <c r="B270" s="219"/>
      <c r="L270"/>
      <c r="M270"/>
      <c r="O270"/>
      <c r="P270"/>
      <c r="Q270"/>
      <c r="R270"/>
      <c r="S270"/>
      <c r="T270"/>
      <c r="U270" s="288"/>
    </row>
    <row r="271" spans="2:39" ht="23.65" customHeight="1">
      <c r="B271" s="192" t="s">
        <v>866</v>
      </c>
      <c r="C271" s="221"/>
      <c r="D271" s="213">
        <f>D268+D269</f>
        <v>211.28399999999999</v>
      </c>
      <c r="E271" s="221"/>
      <c r="F271" s="213">
        <f>D271-H271</f>
        <v>107.48783143939393</v>
      </c>
      <c r="G271" s="221"/>
      <c r="H271" s="213">
        <f>D271*(O271-$D$262)/E</f>
        <v>103.79616856060606</v>
      </c>
      <c r="I271" s="221"/>
      <c r="J271" s="221"/>
      <c r="K271" s="221"/>
      <c r="L271" s="59"/>
      <c r="M271" s="59"/>
      <c r="N271" s="221"/>
      <c r="O271" s="199">
        <f>($D268*O268+$D269*O269)/$D271</f>
        <v>1254.4362800779993</v>
      </c>
      <c r="P271" s="59"/>
      <c r="Q271" s="199">
        <f>($D268*Q268+$D269*Q269)/$D271</f>
        <v>0</v>
      </c>
      <c r="R271" s="59"/>
      <c r="S271" s="199">
        <f t="shared" ref="S271:U271" si="204">($D268*S268+$D269*S269)/$D271</f>
        <v>94.94196437023156</v>
      </c>
      <c r="T271" s="199">
        <f t="shared" si="204"/>
        <v>66.208087219098459</v>
      </c>
      <c r="U271" s="199">
        <f t="shared" si="204"/>
        <v>108.37799596751292</v>
      </c>
    </row>
    <row r="272" spans="2:39" ht="15" customHeight="1">
      <c r="B272" s="225"/>
      <c r="C272" s="221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254"/>
      <c r="U272" s="252"/>
    </row>
    <row r="273" spans="2:32" ht="28.5" customHeight="1">
      <c r="B273" s="246" t="s">
        <v>867</v>
      </c>
      <c r="C273" s="247"/>
      <c r="D273" s="247"/>
      <c r="E273" s="247"/>
      <c r="F273" s="247"/>
      <c r="G273" s="247"/>
      <c r="H273" s="247"/>
      <c r="I273" s="247"/>
      <c r="J273" s="248"/>
      <c r="K273" s="248"/>
      <c r="L273" s="247"/>
      <c r="M273" s="247"/>
      <c r="N273" s="248"/>
      <c r="O273" s="247"/>
      <c r="P273" s="247"/>
      <c r="Q273" s="247"/>
      <c r="R273" s="247"/>
      <c r="S273" s="249"/>
      <c r="T273" s="249"/>
      <c r="U273" s="250"/>
    </row>
    <row r="274" spans="2:32" ht="30" customHeight="1">
      <c r="B274" s="210" t="s">
        <v>868</v>
      </c>
      <c r="D274" s="244">
        <f>L5</f>
        <v>1456.289</v>
      </c>
      <c r="E274" s="4"/>
      <c r="F274" s="244">
        <f>T5</f>
        <v>882.05611900252541</v>
      </c>
      <c r="G274" s="4"/>
      <c r="H274" s="244">
        <f>U5</f>
        <v>574.23288099747458</v>
      </c>
      <c r="O274" s="245">
        <f>O5</f>
        <v>998.48486346688958</v>
      </c>
      <c r="Q274" s="245">
        <f>P5</f>
        <v>-21.573202754856126</v>
      </c>
      <c r="S274" s="245">
        <f>Q5</f>
        <v>261.01732369055867</v>
      </c>
      <c r="T274" s="245">
        <f>R5</f>
        <v>256.80368821023848</v>
      </c>
      <c r="U274" s="245">
        <f>S5</f>
        <v>262.96105944630511</v>
      </c>
      <c r="AA274" s="226"/>
      <c r="AB274" s="226"/>
      <c r="AC274" s="226"/>
      <c r="AD274" s="226"/>
      <c r="AE274" s="226"/>
      <c r="AF274" s="226"/>
    </row>
    <row r="275" spans="2:32" ht="10.9" customHeight="1">
      <c r="B275" s="219"/>
      <c r="D275" s="190"/>
      <c r="L275"/>
      <c r="M275"/>
      <c r="O275" s="3"/>
      <c r="P275"/>
      <c r="Q275"/>
      <c r="R275"/>
      <c r="S275"/>
      <c r="T275"/>
      <c r="U275" s="288"/>
    </row>
    <row r="276" spans="2:32" ht="25.5" customHeight="1">
      <c r="B276" s="192" t="s">
        <v>869</v>
      </c>
      <c r="C276" s="59"/>
      <c r="D276" s="213">
        <f>L5-D268-D269</f>
        <v>1245.0049999999999</v>
      </c>
      <c r="E276" s="59"/>
      <c r="F276" s="213">
        <f>D276-H276</f>
        <v>774.56828756313121</v>
      </c>
      <c r="G276" s="59"/>
      <c r="H276" s="213">
        <f>D276*(O276-$D$262)/E</f>
        <v>470.43671243686862</v>
      </c>
      <c r="I276" s="59"/>
      <c r="J276" s="221"/>
      <c r="K276" s="221"/>
      <c r="L276" s="59"/>
      <c r="M276" s="59"/>
      <c r="N276" s="221"/>
      <c r="O276" s="199">
        <f>(D274*O274-D268*O268-D269*O269)/D276</f>
        <v>955.04854063504433</v>
      </c>
      <c r="P276" s="59"/>
      <c r="Q276" s="199">
        <f>(D274*Q274-D268*Q268-D269*Q269)/D276</f>
        <v>-25.234290518244244</v>
      </c>
      <c r="R276" s="59"/>
      <c r="S276" s="199">
        <f>(D274*S274-D268*S268-D269*S269)/D276</f>
        <v>289.201199432934</v>
      </c>
      <c r="T276" s="199">
        <f>(D274*T274-D268*T268-D269*T269)/D276</f>
        <v>289.14877996473911</v>
      </c>
      <c r="U276" s="199">
        <f>(D274*U274-D268*U268-D269*U269)/D276</f>
        <v>289.19463118622031</v>
      </c>
    </row>
    <row r="277" spans="2:32" ht="15" customHeight="1">
      <c r="B277" s="219"/>
      <c r="S277" s="207"/>
      <c r="T277" s="207"/>
      <c r="U277" s="224"/>
    </row>
    <row r="278" spans="2:32" ht="28.5" customHeight="1">
      <c r="B278" s="246" t="s">
        <v>870</v>
      </c>
      <c r="C278" s="247"/>
      <c r="D278" s="247"/>
      <c r="E278" s="247"/>
      <c r="F278" s="247"/>
      <c r="G278" s="247"/>
      <c r="H278" s="247"/>
      <c r="I278" s="247"/>
      <c r="J278" s="248"/>
      <c r="K278" s="248"/>
      <c r="L278" s="247"/>
      <c r="M278" s="247"/>
      <c r="N278" s="248"/>
      <c r="O278" s="247"/>
      <c r="P278" s="247"/>
      <c r="Q278" s="247"/>
      <c r="R278" s="247"/>
      <c r="S278" s="249"/>
      <c r="T278" s="249"/>
      <c r="U278" s="250"/>
    </row>
    <row r="279" spans="2:32" ht="15" customHeight="1">
      <c r="B279" s="285" t="s">
        <v>871</v>
      </c>
      <c r="C279" s="286"/>
      <c r="D279" s="290">
        <f>F279+H279</f>
        <v>56.003999999999998</v>
      </c>
      <c r="E279" s="286"/>
      <c r="F279" s="290">
        <f>'INPUT1 - Veh Geometry'!G11</f>
        <v>1.3159445471349356</v>
      </c>
      <c r="G279" s="287"/>
      <c r="H279" s="290">
        <f>'INPUT1 - Veh Geometry'!G12</f>
        <v>54.688055452865065</v>
      </c>
      <c r="I279" s="286"/>
      <c r="J279" s="286"/>
      <c r="K279" s="286"/>
      <c r="L279" s="287"/>
      <c r="M279" s="287"/>
      <c r="N279" s="286"/>
      <c r="O279" s="291">
        <f>H279/D279*E+$D$262</f>
        <v>2535.4670451318439</v>
      </c>
      <c r="P279" s="287"/>
      <c r="Q279" s="291">
        <f>'INPUT1 - Veh Geometry'!I13</f>
        <v>0</v>
      </c>
      <c r="R279" s="287"/>
      <c r="S279" s="253">
        <f>'INPUT1 - Veh Geometry'!$J$13</f>
        <v>250</v>
      </c>
      <c r="T279" s="253">
        <f>'INPUT1 - Veh Geometry'!$J$13</f>
        <v>250</v>
      </c>
      <c r="U279" s="251">
        <f>'INPUT1 - Veh Geometry'!$J$13</f>
        <v>250</v>
      </c>
    </row>
    <row r="280" spans="2:32" ht="15" customHeight="1">
      <c r="B280" s="219" t="s">
        <v>872</v>
      </c>
      <c r="D280" s="191">
        <f>(IF('INPUT1 - Veh Geometry'!G14=0,0,IF('INPUT1 - Veh Geometry'!G14=1,1,IF('INPUT1 - Veh Geometry'!G14=2,2,2))))*'INPUT1 - Veh Geometry'!G15</f>
        <v>150</v>
      </c>
      <c r="F280" s="191">
        <f t="shared" ref="F280:F283" si="205">D280-H280</f>
        <v>71.789772727272734</v>
      </c>
      <c r="G280" s="2"/>
      <c r="H280" s="191">
        <f>D280*(O280-$D$262)/E</f>
        <v>78.210227272727266</v>
      </c>
      <c r="O280" s="206">
        <f>'INPUT1 - Veh Geometry'!H42</f>
        <v>1334</v>
      </c>
      <c r="Q280" s="206">
        <v>0</v>
      </c>
      <c r="S280" s="200">
        <f>'INPUT1 - Veh Geometry'!$J$42</f>
        <v>390.3</v>
      </c>
      <c r="T280" s="200">
        <f>'INPUT1 - Veh Geometry'!$J$42</f>
        <v>390.3</v>
      </c>
      <c r="U280" s="243">
        <f>'INPUT1 - Veh Geometry'!$J$42</f>
        <v>390.3</v>
      </c>
    </row>
    <row r="281" spans="2:32" ht="15" customHeight="1">
      <c r="B281" s="219" t="s">
        <v>873</v>
      </c>
      <c r="D281" s="191">
        <f>(IF(OR('INPUT1 - Veh Geometry'!G14=0,'INPUT1 - Veh Geometry'!G14=1,'INPUT1 - Veh Geometry'!G14=2),0,IF('INPUT1 - Veh Geometry'!G14=3,1,IF('INPUT1 - Veh Geometry'!G14=4,2,IF('INPUT1 - Veh Geometry'!G14=5,3,3)))))*'INPUT1 - Veh Geometry'!G15</f>
        <v>225</v>
      </c>
      <c r="F281" s="191">
        <f t="shared" si="205"/>
        <v>39.84375</v>
      </c>
      <c r="G281" s="2"/>
      <c r="H281" s="191">
        <f>D281*(O281-$D$262)/E</f>
        <v>185.15625</v>
      </c>
      <c r="O281" s="206">
        <f>'INPUT1 - Veh Geometry'!H49</f>
        <v>2130</v>
      </c>
      <c r="Q281" s="206">
        <v>0</v>
      </c>
      <c r="S281" s="200">
        <f>'INPUT1 - Veh Geometry'!$J$49</f>
        <v>389</v>
      </c>
      <c r="T281" s="200">
        <f>'INPUT1 - Veh Geometry'!$J$49</f>
        <v>389</v>
      </c>
      <c r="U281" s="243">
        <f>'INPUT1 - Veh Geometry'!$J$49</f>
        <v>389</v>
      </c>
    </row>
    <row r="282" spans="2:32" ht="15" customHeight="1">
      <c r="B282" s="219" t="s">
        <v>874</v>
      </c>
      <c r="D282" s="191">
        <f>(IF(AND('INPUT1 - Veh Geometry'!G14&gt;=0,'INPUT1 - Veh Geometry'!G14&lt;=5),0,IF('INPUT1 - Veh Geometry'!G14=6,1,IF('INPUT1 - Veh Geometry'!G14=7,2,2))))*'INPUT1 - Veh Geometry'!G15</f>
        <v>0</v>
      </c>
      <c r="F282" s="191">
        <f t="shared" si="205"/>
        <v>0</v>
      </c>
      <c r="G282" s="2"/>
      <c r="H282" s="191">
        <f>D282*(O282-$D$262)/E</f>
        <v>0</v>
      </c>
      <c r="O282" s="206">
        <f>'INPUT1 - Veh Geometry'!H52</f>
        <v>0</v>
      </c>
      <c r="Q282" s="206">
        <v>0</v>
      </c>
      <c r="S282" s="200">
        <f>'INPUT1 - Veh Geometry'!$J$53</f>
        <v>0</v>
      </c>
      <c r="T282" s="200">
        <f>'INPUT1 - Veh Geometry'!$J$53</f>
        <v>0</v>
      </c>
      <c r="U282" s="243">
        <f>'INPUT1 - Veh Geometry'!$J$53</f>
        <v>0</v>
      </c>
    </row>
    <row r="283" spans="2:32" ht="15" customHeight="1">
      <c r="B283" s="219" t="s">
        <v>875</v>
      </c>
      <c r="D283" s="191">
        <f>'INPUT1 - Veh Geometry'!G21</f>
        <v>40</v>
      </c>
      <c r="F283" s="191">
        <f t="shared" si="205"/>
        <v>-2.3106060606060623</v>
      </c>
      <c r="G283" s="2"/>
      <c r="H283" s="191">
        <f>D283*(O283-$D$262)/E</f>
        <v>42.310606060606062</v>
      </c>
      <c r="O283" s="206">
        <f>'INPUT1 - Veh Geometry'!H57</f>
        <v>2750</v>
      </c>
      <c r="Q283" s="206">
        <f>'INPUT1 - Veh Geometry'!I57</f>
        <v>0</v>
      </c>
      <c r="S283" s="200">
        <f>'INPUT1 - Veh Geometry'!$J$57</f>
        <v>625</v>
      </c>
      <c r="T283" s="200">
        <f>'INPUT1 - Veh Geometry'!$J$57</f>
        <v>625</v>
      </c>
      <c r="U283" s="243">
        <f>'INPUT1 - Veh Geometry'!$J$57</f>
        <v>625</v>
      </c>
    </row>
    <row r="284" spans="2:32" ht="22.5" customHeight="1">
      <c r="B284" s="192" t="s">
        <v>868</v>
      </c>
      <c r="C284" s="221"/>
      <c r="D284" s="213">
        <f>$D$274+'INPUT1 - Veh Geometry'!$G$13+'INPUT1 - Veh Geometry'!$G$14*'INPUT1 - Veh Geometry'!$G$15+'INPUT1 - Veh Geometry'!$G$21</f>
        <v>1927.2929999999999</v>
      </c>
      <c r="E284" s="292"/>
      <c r="F284" s="213">
        <f>D284-H284</f>
        <v>992.69498021632671</v>
      </c>
      <c r="G284" s="292"/>
      <c r="H284" s="213">
        <f>$D284*($O284-$D$262)/E</f>
        <v>934.59801978367318</v>
      </c>
      <c r="I284" s="221"/>
      <c r="J284" s="221"/>
      <c r="K284" s="221"/>
      <c r="L284" s="59"/>
      <c r="M284" s="59"/>
      <c r="N284" s="221"/>
      <c r="O284" s="227">
        <f>($D$274*O274+$D$279*O279+$D$280*O280+$D$281*O281+$D$282*O282+$D$283*O283)/$D$284</f>
        <v>1237.7094815001649</v>
      </c>
      <c r="P284" s="59"/>
      <c r="Q284" s="227">
        <f>($D$274*Q274+$D$279*Q279+$D$280*Q280+$D$281*Q281+$D$282*Q282+$D$283*Q283)/$D$284</f>
        <v>-16.301007613614885</v>
      </c>
      <c r="R284" s="59"/>
      <c r="S284" s="199">
        <f>($D$274*S274+$D$279*S279+$D$280*S280+$D$281*S281+$D$282*S282+$D$283*S283)/$D$284</f>
        <v>293.25466200520628</v>
      </c>
      <c r="T284" s="199">
        <f>($D$274*T274+$D$279*T279+$D$280*T280+$D$281*T281+$D$282*T282+$D$283*T283)/$D$284</f>
        <v>290.07078129791364</v>
      </c>
      <c r="U284" s="199">
        <f>($D$274*U274+$D$279*U279+$D$280*U280+$D$281*U281+$D$282*U282+$D$283*U283)/$D$284</f>
        <v>294.72337537675912</v>
      </c>
    </row>
    <row r="285" spans="2:32" ht="15" customHeight="1">
      <c r="B285" s="219"/>
      <c r="U285" s="220"/>
    </row>
    <row r="286" spans="2:32" ht="22.5" customHeight="1">
      <c r="B286" s="192" t="s">
        <v>869</v>
      </c>
      <c r="C286" s="221"/>
      <c r="D286" s="213">
        <f>$D$276+'INPUT1 - Veh Geometry'!$G$13+'INPUT1 - Veh Geometry'!$G$14*'INPUT1 - Veh Geometry'!$G$15+'INPUT1 - Veh Geometry'!$G$21</f>
        <v>1716.0089999999998</v>
      </c>
      <c r="E286" s="292"/>
      <c r="F286" s="213">
        <f>D286-H286</f>
        <v>885.20714877693263</v>
      </c>
      <c r="G286" s="292"/>
      <c r="H286" s="213">
        <f>$D286*($O286-$D$262)/E</f>
        <v>830.80185122306716</v>
      </c>
      <c r="I286" s="221"/>
      <c r="J286" s="221"/>
      <c r="K286" s="221"/>
      <c r="L286" s="59"/>
      <c r="M286" s="59"/>
      <c r="N286" s="221"/>
      <c r="O286" s="227">
        <f>($D$276*O276+$D$279*O279+$D$280*O280+$D$281*O281+$D$282*O282+$D$283*O283)/$D$286</f>
        <v>1235.6499906054673</v>
      </c>
      <c r="P286" s="59"/>
      <c r="Q286" s="227">
        <f>($D$276*Q276+$D$279*Q279+$D$280*Q280+$D$281*Q281+$D$282*Q282+$D$283*Q283)/$D$286</f>
        <v>-18.30807289860757</v>
      </c>
      <c r="R286" s="59"/>
      <c r="S286" s="199">
        <f t="shared" ref="S286:U286" si="206">($D$276*S276+$D$279*S279+$D$280*S280+$D$281*S281+$D$282*S282+$D$283*S283)/$D$286</f>
        <v>317.67195818903048</v>
      </c>
      <c r="T286" s="199">
        <f t="shared" si="206"/>
        <v>317.63392662859002</v>
      </c>
      <c r="U286" s="199">
        <f t="shared" si="206"/>
        <v>317.66719277113367</v>
      </c>
    </row>
    <row r="287" spans="2:32" ht="15" customHeight="1">
      <c r="B287" s="219"/>
      <c r="D287" s="2"/>
      <c r="E287" s="2"/>
      <c r="F287" s="2"/>
      <c r="G287" s="2"/>
      <c r="H287" s="2"/>
      <c r="I287" s="2"/>
      <c r="J287" s="2"/>
      <c r="K287" s="2"/>
      <c r="N287" s="2"/>
      <c r="T287" s="207"/>
      <c r="U287" s="224"/>
    </row>
    <row r="288" spans="2:32" ht="15" customHeight="1">
      <c r="B288" s="225"/>
      <c r="C288" s="221"/>
      <c r="D288" s="221"/>
      <c r="E288" s="221"/>
      <c r="F288" s="221"/>
      <c r="G288" s="221"/>
      <c r="H288" s="221"/>
      <c r="I288" s="221"/>
      <c r="J288" s="221"/>
      <c r="K288" s="221"/>
      <c r="L288" s="59"/>
      <c r="M288" s="59"/>
      <c r="N288" s="221"/>
      <c r="O288" s="59"/>
      <c r="P288" s="59"/>
      <c r="Q288" s="59"/>
      <c r="R288" s="59"/>
      <c r="S288" s="59"/>
      <c r="T288" s="222"/>
      <c r="U288" s="223"/>
    </row>
    <row r="289" spans="2:15" ht="15" customHeight="1">
      <c r="O289" s="208"/>
    </row>
    <row r="290" spans="2:15" ht="15" customHeight="1">
      <c r="B290" t="s">
        <v>876</v>
      </c>
    </row>
    <row r="292" spans="2:15" ht="15" customHeight="1">
      <c r="B292" s="212" t="s">
        <v>877</v>
      </c>
    </row>
  </sheetData>
  <autoFilter ref="Y5:AA244" xr:uid="{00000000-0001-0000-0100-000000000000}"/>
  <dataConsolidate/>
  <mergeCells count="2">
    <mergeCell ref="L2:M2"/>
    <mergeCell ref="B4:I5"/>
  </mergeCells>
  <conditionalFormatting sqref="B7:I7 K7:L19 B14:I30 K21:L21 K20 K23:L24 K22 K26:L30 K25">
    <cfRule type="expression" dxfId="138" priority="354">
      <formula>IF($K7=0,1,0)</formula>
    </cfRule>
  </conditionalFormatting>
  <conditionalFormatting sqref="B10:I12">
    <cfRule type="expression" dxfId="137" priority="305">
      <formula>IF($K10=0,1,0)</formula>
    </cfRule>
  </conditionalFormatting>
  <conditionalFormatting sqref="B32:I37">
    <cfRule type="expression" dxfId="136" priority="317">
      <formula>IF($K32=0,1,0)</formula>
    </cfRule>
  </conditionalFormatting>
  <conditionalFormatting sqref="B39:I40">
    <cfRule type="expression" dxfId="135" priority="312">
      <formula>IF($K39=0,1,0)</formula>
    </cfRule>
  </conditionalFormatting>
  <conditionalFormatting sqref="B42:I43">
    <cfRule type="expression" dxfId="134" priority="310">
      <formula>IF($K42=0,1,0)</formula>
    </cfRule>
  </conditionalFormatting>
  <conditionalFormatting sqref="B45:I46">
    <cfRule type="expression" dxfId="133" priority="303">
      <formula>IF($K45=0,1,0)</formula>
    </cfRule>
  </conditionalFormatting>
  <conditionalFormatting sqref="B48:I49">
    <cfRule type="expression" dxfId="132" priority="301">
      <formula>IF($K48=0,1,0)</formula>
    </cfRule>
  </conditionalFormatting>
  <conditionalFormatting sqref="B51:I61 B87:I89 B118:I119 B144:I146 B148:I152 B162:I164 B171:I171 B229:I230">
    <cfRule type="expression" dxfId="131" priority="406">
      <formula>IF($K51=0,1,0)</formula>
    </cfRule>
  </conditionalFormatting>
  <conditionalFormatting sqref="B63:I64">
    <cfRule type="expression" dxfId="130" priority="299">
      <formula>IF($K63=0,1,0)</formula>
    </cfRule>
  </conditionalFormatting>
  <conditionalFormatting sqref="B66:I67">
    <cfRule type="expression" dxfId="129" priority="297">
      <formula>IF($K66=0,1,0)</formula>
    </cfRule>
  </conditionalFormatting>
  <conditionalFormatting sqref="B69:I74">
    <cfRule type="expression" dxfId="128" priority="79">
      <formula>IF($K69=0,1,0)</formula>
    </cfRule>
  </conditionalFormatting>
  <conditionalFormatting sqref="B76:I80">
    <cfRule type="expression" dxfId="127" priority="294">
      <formula>IF($K76=0,1,0)</formula>
    </cfRule>
  </conditionalFormatting>
  <conditionalFormatting sqref="B82:I83">
    <cfRule type="expression" dxfId="126" priority="293">
      <formula>IF($K82=0,1,0)</formula>
    </cfRule>
  </conditionalFormatting>
  <conditionalFormatting sqref="B85:I85">
    <cfRule type="expression" dxfId="125" priority="292">
      <formula>IF($K85=0,1,0)</formula>
    </cfRule>
  </conditionalFormatting>
  <conditionalFormatting sqref="B91:I92">
    <cfRule type="expression" dxfId="124" priority="290">
      <formula>IF($K91=0,1,0)</formula>
    </cfRule>
  </conditionalFormatting>
  <conditionalFormatting sqref="B94:I95">
    <cfRule type="expression" dxfId="123" priority="289">
      <formula>IF($K94=0,1,0)</formula>
    </cfRule>
  </conditionalFormatting>
  <conditionalFormatting sqref="B97:I98">
    <cfRule type="expression" dxfId="122" priority="73">
      <formula>IF($K97=0,1,0)</formula>
    </cfRule>
  </conditionalFormatting>
  <conditionalFormatting sqref="B100:I108">
    <cfRule type="expression" dxfId="121" priority="172">
      <formula>IF($K100=0,1,0)</formula>
    </cfRule>
  </conditionalFormatting>
  <conditionalFormatting sqref="B110:I112">
    <cfRule type="expression" dxfId="120" priority="164">
      <formula>IF($K110=0,1,0)</formula>
    </cfRule>
  </conditionalFormatting>
  <conditionalFormatting sqref="B114:I116">
    <cfRule type="expression" dxfId="119" priority="286">
      <formula>IF($K114=0,1,0)</formula>
    </cfRule>
  </conditionalFormatting>
  <conditionalFormatting sqref="B121:I126">
    <cfRule type="expression" dxfId="118" priority="284">
      <formula>IF($K121=0,1,0)</formula>
    </cfRule>
  </conditionalFormatting>
  <conditionalFormatting sqref="B128:I134">
    <cfRule type="expression" dxfId="117" priority="65">
      <formula>IF($K128=0,1,0)</formula>
    </cfRule>
  </conditionalFormatting>
  <conditionalFormatting sqref="B136:I139">
    <cfRule type="expression" dxfId="116" priority="282">
      <formula>IF($K136=0,1,0)</formula>
    </cfRule>
  </conditionalFormatting>
  <conditionalFormatting sqref="B141:I142">
    <cfRule type="expression" dxfId="115" priority="281">
      <formula>IF($K141=0,1,0)</formula>
    </cfRule>
  </conditionalFormatting>
  <conditionalFormatting sqref="B160:I160">
    <cfRule type="expression" dxfId="114" priority="278">
      <formula>IF($K160=0,1,0)</formula>
    </cfRule>
  </conditionalFormatting>
  <conditionalFormatting sqref="B166:I166">
    <cfRule type="expression" dxfId="113" priority="274">
      <formula>IF($K166=0,1,0)</formula>
    </cfRule>
  </conditionalFormatting>
  <conditionalFormatting sqref="B173:I180">
    <cfRule type="expression" dxfId="112" priority="45">
      <formula>IF($K173=0,1,0)</formula>
    </cfRule>
  </conditionalFormatting>
  <conditionalFormatting sqref="B182:I183">
    <cfRule type="expression" dxfId="111" priority="266">
      <formula>IF($K182=0,1,0)</formula>
    </cfRule>
  </conditionalFormatting>
  <conditionalFormatting sqref="B185:I186">
    <cfRule type="expression" dxfId="110" priority="265">
      <formula>IF($K185=0,1,0)</formula>
    </cfRule>
  </conditionalFormatting>
  <conditionalFormatting sqref="B201:I201">
    <cfRule type="expression" dxfId="109" priority="148">
      <formula>IF($K201=0,1,0)</formula>
    </cfRule>
  </conditionalFormatting>
  <conditionalFormatting sqref="B206:I208">
    <cfRule type="expression" dxfId="108" priority="41">
      <formula>IF($K206=0,1,0)</formula>
    </cfRule>
  </conditionalFormatting>
  <conditionalFormatting sqref="B210:I210">
    <cfRule type="expression" dxfId="107" priority="263">
      <formula>IF($K210=0,1,0)</formula>
    </cfRule>
  </conditionalFormatting>
  <conditionalFormatting sqref="B212:I214">
    <cfRule type="expression" dxfId="106" priority="262">
      <formula>IF($K212=0,1,0)</formula>
    </cfRule>
  </conditionalFormatting>
  <conditionalFormatting sqref="B216:I219">
    <cfRule type="expression" dxfId="105" priority="261">
      <formula>IF($K216=0,1,0)</formula>
    </cfRule>
  </conditionalFormatting>
  <conditionalFormatting sqref="B221:I224">
    <cfRule type="expression" dxfId="104" priority="236">
      <formula>IF($K221=0,1,0)</formula>
    </cfRule>
  </conditionalFormatting>
  <conditionalFormatting sqref="B226:I227">
    <cfRule type="expression" dxfId="103" priority="259">
      <formula>IF($K226=0,1,0)</formula>
    </cfRule>
  </conditionalFormatting>
  <conditionalFormatting sqref="B232:I232">
    <cfRule type="expression" dxfId="102" priority="251">
      <formula>IF($L232=0,1,0)</formula>
    </cfRule>
  </conditionalFormatting>
  <conditionalFormatting sqref="B233:I236">
    <cfRule type="expression" dxfId="101" priority="24">
      <formula>IF($K233=0,1,0)</formula>
    </cfRule>
  </conditionalFormatting>
  <conditionalFormatting sqref="B237:I237">
    <cfRule type="expression" dxfId="100" priority="252">
      <formula>IF($L237=0,1,0)</formula>
    </cfRule>
  </conditionalFormatting>
  <conditionalFormatting sqref="B238:I240">
    <cfRule type="expression" dxfId="99" priority="234">
      <formula>IF($K238=0,1,0)</formula>
    </cfRule>
  </conditionalFormatting>
  <conditionalFormatting sqref="B242:I242">
    <cfRule type="expression" dxfId="98" priority="250">
      <formula>IF($K242=0,1,0)</formula>
    </cfRule>
  </conditionalFormatting>
  <conditionalFormatting sqref="B244:I244">
    <cfRule type="expression" dxfId="97" priority="126">
      <formula>IF($K244=0,1,0)</formula>
    </cfRule>
  </conditionalFormatting>
  <conditionalFormatting sqref="B248:I252">
    <cfRule type="expression" dxfId="96" priority="91">
      <formula>IF($K248=0,1,0)</formula>
    </cfRule>
  </conditionalFormatting>
  <conditionalFormatting sqref="K8:K30">
    <cfRule type="expression" dxfId="95" priority="33">
      <formula>"si($I$11;"""")"</formula>
    </cfRule>
  </conditionalFormatting>
  <conditionalFormatting sqref="K32:K37">
    <cfRule type="expression" dxfId="94" priority="340">
      <formula>"si($I$11;"""")"</formula>
    </cfRule>
  </conditionalFormatting>
  <conditionalFormatting sqref="K39:K40 K42:K43 K48:K49 K51:K61 K63:K64 K66:K67 K76:K80 K87:K89 K94:K95 K114:K116 K118:K119 K121:K126 K136:K139 K141:K142 K144:K146 K148:K151 K153:K155 K162:K164 K169:K171 K182:L183 K185:K186 K188:K189 K191 K193:K196 K198 K210:L210 K212:K214 K221:K224 K226:L227 K229:L230 K238:K240 K45:K46">
    <cfRule type="expression" dxfId="93" priority="393">
      <formula>"si($I$11;"""")"</formula>
    </cfRule>
  </conditionalFormatting>
  <conditionalFormatting sqref="K69:K74">
    <cfRule type="expression" dxfId="92" priority="78">
      <formula>"si($I$11;"""")"</formula>
    </cfRule>
  </conditionalFormatting>
  <conditionalFormatting sqref="K82:K83">
    <cfRule type="expression" dxfId="91" priority="384">
      <formula>"si($I$11;"""")"</formula>
    </cfRule>
  </conditionalFormatting>
  <conditionalFormatting sqref="K85">
    <cfRule type="expression" dxfId="90" priority="378">
      <formula>"si($I$11;"""")"</formula>
    </cfRule>
  </conditionalFormatting>
  <conditionalFormatting sqref="K91:K92">
    <cfRule type="expression" dxfId="89" priority="381">
      <formula>"si($I$11;"""")"</formula>
    </cfRule>
  </conditionalFormatting>
  <conditionalFormatting sqref="K97:K98">
    <cfRule type="expression" dxfId="88" priority="75">
      <formula>"si($I$11;"""")"</formula>
    </cfRule>
  </conditionalFormatting>
  <conditionalFormatting sqref="K100:K108">
    <cfRule type="expression" dxfId="87" priority="174">
      <formula>"si($I$11;"""")"</formula>
    </cfRule>
  </conditionalFormatting>
  <conditionalFormatting sqref="K110:K112">
    <cfRule type="expression" dxfId="86" priority="166">
      <formula>"si($I$11;"""")"</formula>
    </cfRule>
  </conditionalFormatting>
  <conditionalFormatting sqref="K128:K134">
    <cfRule type="expression" dxfId="85" priority="67">
      <formula>"si($I$11;"""")"</formula>
    </cfRule>
  </conditionalFormatting>
  <conditionalFormatting sqref="K157:K160">
    <cfRule type="expression" dxfId="84" priority="375">
      <formula>"si($I$11;"""")"</formula>
    </cfRule>
  </conditionalFormatting>
  <conditionalFormatting sqref="K166:K167">
    <cfRule type="expression" dxfId="83" priority="276">
      <formula>"si($I$11;"""")"</formula>
    </cfRule>
  </conditionalFormatting>
  <conditionalFormatting sqref="K173:K180">
    <cfRule type="expression" dxfId="82" priority="47">
      <formula>"si($I$11;"""")"</formula>
    </cfRule>
  </conditionalFormatting>
  <conditionalFormatting sqref="K200:K204">
    <cfRule type="expression" dxfId="81" priority="152">
      <formula>"si($I$11;"""")"</formula>
    </cfRule>
  </conditionalFormatting>
  <conditionalFormatting sqref="K206:K208">
    <cfRule type="expression" dxfId="80" priority="43">
      <formula>"si($I$11;"""")"</formula>
    </cfRule>
  </conditionalFormatting>
  <conditionalFormatting sqref="K216:K219">
    <cfRule type="expression" dxfId="79" priority="19">
      <formula>"si($I$11;"""")"</formula>
    </cfRule>
  </conditionalFormatting>
  <conditionalFormatting sqref="K233:K236">
    <cfRule type="expression" dxfId="78" priority="27">
      <formula>"si($I$11;"""")"</formula>
    </cfRule>
  </conditionalFormatting>
  <conditionalFormatting sqref="K32:L32 K36:L37 K33:K35">
    <cfRule type="expression" dxfId="77" priority="339">
      <formula>IF($K32=0,1,0)</formula>
    </cfRule>
  </conditionalFormatting>
  <conditionalFormatting sqref="K39:L40 K43:L43 K48:L49 K51:L61 K63:L64 K66:L67 K76:L79 K87:L89 K94:L95 K114:L116 K118:L119 K121:L126 K136:K139 K141:L142 K144:L146 K148:L151 K153:L155 K162:L164 K170:L171 K182:L183 K185:L186 K188:L189 K191:L191 K193:L196 K198:L198 K210:L210 K212:L214 K221:K224 K226:L227 K229:L230 K238:L240 K45:L46 K42 K80 K169">
    <cfRule type="expression" dxfId="76" priority="392">
      <formula>IF($K39=0,1,0)</formula>
    </cfRule>
  </conditionalFormatting>
  <conditionalFormatting sqref="K69:L69 K71:L74 K70">
    <cfRule type="expression" dxfId="75" priority="17">
      <formula>IF($K69=0,1,0)</formula>
    </cfRule>
  </conditionalFormatting>
  <conditionalFormatting sqref="K82:L83">
    <cfRule type="expression" dxfId="74" priority="383">
      <formula>IF($K82=0,1,0)</formula>
    </cfRule>
  </conditionalFormatting>
  <conditionalFormatting sqref="K85:L85">
    <cfRule type="expression" dxfId="73" priority="377">
      <formula>IF($K85=0,1,0)</formula>
    </cfRule>
  </conditionalFormatting>
  <conditionalFormatting sqref="K92:L92 K91">
    <cfRule type="expression" dxfId="72" priority="380">
      <formula>IF($K91=0,1,0)</formula>
    </cfRule>
  </conditionalFormatting>
  <conditionalFormatting sqref="K97:L98">
    <cfRule type="expression" dxfId="71" priority="74">
      <formula>IF($K97=0,1,0)</formula>
    </cfRule>
  </conditionalFormatting>
  <conditionalFormatting sqref="K100:L108">
    <cfRule type="expression" dxfId="70" priority="173">
      <formula>IF($K100=0,1,0)</formula>
    </cfRule>
  </conditionalFormatting>
  <conditionalFormatting sqref="K110:K112">
    <cfRule type="expression" dxfId="69" priority="165">
      <formula>IF($K110=0,1,0)</formula>
    </cfRule>
  </conditionalFormatting>
  <conditionalFormatting sqref="K128:L134">
    <cfRule type="expression" dxfId="68" priority="66">
      <formula>IF($K128=0,1,0)</formula>
    </cfRule>
  </conditionalFormatting>
  <conditionalFormatting sqref="K157:L160">
    <cfRule type="expression" dxfId="67" priority="374">
      <formula>IF($K157=0,1,0)</formula>
    </cfRule>
  </conditionalFormatting>
  <conditionalFormatting sqref="K166:L167">
    <cfRule type="expression" dxfId="66" priority="275">
      <formula>IF($K166=0,1,0)</formula>
    </cfRule>
  </conditionalFormatting>
  <conditionalFormatting sqref="K173:K180">
    <cfRule type="expression" dxfId="65" priority="46">
      <formula>IF($K173=0,1,0)</formula>
    </cfRule>
  </conditionalFormatting>
  <conditionalFormatting sqref="K200:L204">
    <cfRule type="expression" dxfId="64" priority="151">
      <formula>IF($K200=0,1,0)</formula>
    </cfRule>
  </conditionalFormatting>
  <conditionalFormatting sqref="K206:L208">
    <cfRule type="expression" dxfId="63" priority="42">
      <formula>IF($K206=0,1,0)</formula>
    </cfRule>
  </conditionalFormatting>
  <conditionalFormatting sqref="K216:K219">
    <cfRule type="expression" dxfId="62" priority="18">
      <formula>IF($K216=0,1,0)</formula>
    </cfRule>
  </conditionalFormatting>
  <conditionalFormatting sqref="K233:L236">
    <cfRule type="expression" dxfId="61" priority="26">
      <formula>IF($K233=0,1,0)</formula>
    </cfRule>
  </conditionalFormatting>
  <conditionalFormatting sqref="K242">
    <cfRule type="expression" dxfId="60" priority="371">
      <formula>"si($I$11;"""")"</formula>
    </cfRule>
    <cfRule type="expression" dxfId="59" priority="370">
      <formula>IF($K242=0,1,0)</formula>
    </cfRule>
  </conditionalFormatting>
  <conditionalFormatting sqref="K244:L244">
    <cfRule type="expression" dxfId="58" priority="127">
      <formula>IF($K244=0,1,0)</formula>
    </cfRule>
    <cfRule type="expression" dxfId="57" priority="128">
      <formula>"si($I$11;"""")"</formula>
    </cfRule>
  </conditionalFormatting>
  <conditionalFormatting sqref="K248:L252">
    <cfRule type="expression" dxfId="56" priority="95">
      <formula>"si($I$11;"""")"</formula>
    </cfRule>
    <cfRule type="expression" dxfId="55" priority="94">
      <formula>IF($K248=0,1,0)</formula>
    </cfRule>
  </conditionalFormatting>
  <conditionalFormatting sqref="O8:U9">
    <cfRule type="expression" dxfId="54" priority="35">
      <formula>$AN8</formula>
    </cfRule>
  </conditionalFormatting>
  <conditionalFormatting sqref="O13:U13">
    <cfRule type="expression" dxfId="53" priority="132">
      <formula>$AL13</formula>
    </cfRule>
  </conditionalFormatting>
  <conditionalFormatting sqref="L20">
    <cfRule type="expression" dxfId="52" priority="16">
      <formula>IF($K20=0,1,0)</formula>
    </cfRule>
  </conditionalFormatting>
  <conditionalFormatting sqref="L22">
    <cfRule type="expression" dxfId="51" priority="15">
      <formula>IF($K22=0,1,0)</formula>
    </cfRule>
  </conditionalFormatting>
  <conditionalFormatting sqref="L25">
    <cfRule type="expression" dxfId="50" priority="14">
      <formula>IF($K25=0,1,0)</formula>
    </cfRule>
  </conditionalFormatting>
  <conditionalFormatting sqref="L33:L35">
    <cfRule type="expression" dxfId="49" priority="13">
      <formula>IF($K33=0,1,0)</formula>
    </cfRule>
  </conditionalFormatting>
  <conditionalFormatting sqref="L42">
    <cfRule type="expression" dxfId="48" priority="12">
      <formula>IF($K42=0,1,0)</formula>
    </cfRule>
  </conditionalFormatting>
  <conditionalFormatting sqref="L70">
    <cfRule type="expression" dxfId="47" priority="11">
      <formula>IF($K70=0,1,0)</formula>
    </cfRule>
  </conditionalFormatting>
  <conditionalFormatting sqref="L80">
    <cfRule type="expression" dxfId="46" priority="10">
      <formula>IF($K80=0,1,0)</formula>
    </cfRule>
  </conditionalFormatting>
  <conditionalFormatting sqref="L91">
    <cfRule type="expression" dxfId="45" priority="9">
      <formula>IF($K91=0,1,0)</formula>
    </cfRule>
  </conditionalFormatting>
  <conditionalFormatting sqref="L110:L112">
    <cfRule type="expression" dxfId="44" priority="8">
      <formula>IF($K110=0,1,0)</formula>
    </cfRule>
  </conditionalFormatting>
  <conditionalFormatting sqref="L136:L139">
    <cfRule type="expression" dxfId="43" priority="7">
      <formula>IF($K136=0,1,0)</formula>
    </cfRule>
  </conditionalFormatting>
  <conditionalFormatting sqref="L169">
    <cfRule type="expression" dxfId="42" priority="6">
      <formula>IF($K169=0,1,0)</formula>
    </cfRule>
  </conditionalFormatting>
  <conditionalFormatting sqref="L173:L180">
    <cfRule type="expression" dxfId="41" priority="5">
      <formula>IF($K173=0,1,0)</formula>
    </cfRule>
  </conditionalFormatting>
  <conditionalFormatting sqref="L216:L219">
    <cfRule type="expression" dxfId="40" priority="4">
      <formula>IF($K216=0,1,0)</formula>
    </cfRule>
  </conditionalFormatting>
  <conditionalFormatting sqref="L221:L224">
    <cfRule type="expression" dxfId="39" priority="3">
      <formula>IF($K221=0,1,0)</formula>
    </cfRule>
  </conditionalFormatting>
  <conditionalFormatting sqref="L242">
    <cfRule type="expression" dxfId="38" priority="1">
      <formula>IF($K242=0,1,0)</formula>
    </cfRule>
    <cfRule type="expression" dxfId="37" priority="2">
      <formula>"si($I$11;"""")"</formula>
    </cfRule>
  </conditionalFormatting>
  <pageMargins left="0.75" right="0.75" top="1" bottom="1" header="0.5" footer="0.5"/>
  <pageSetup orientation="portrait" r:id="rId1"/>
  <ignoredErrors>
    <ignoredError sqref="Q131 Q138 Q150 T199:U199 R181:T181 T184 O22:Q22" 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51116-0593-44AF-8B82-E419EDEB1829}">
  <sheetPr>
    <tabColor theme="0" tint="-0.249977111117893"/>
  </sheetPr>
  <dimension ref="B1:P67"/>
  <sheetViews>
    <sheetView showGridLines="0" topLeftCell="A17" workbookViewId="0">
      <selection activeCell="E90" sqref="E90"/>
    </sheetView>
  </sheetViews>
  <sheetFormatPr defaultColWidth="11.42578125" defaultRowHeight="14.45"/>
  <cols>
    <col min="1" max="1" width="1.28515625" customWidth="1"/>
    <col min="2" max="2" width="1.140625" customWidth="1"/>
    <col min="3" max="3" width="19.5703125" customWidth="1"/>
    <col min="4" max="4" width="40.28515625" customWidth="1"/>
    <col min="8" max="8" width="17.140625" style="2" customWidth="1"/>
    <col min="9" max="9" width="19.7109375" style="2" customWidth="1"/>
    <col min="10" max="10" width="0.85546875" customWidth="1"/>
    <col min="12" max="12" width="1.140625" customWidth="1"/>
    <col min="13" max="13" width="15.42578125" style="2" customWidth="1"/>
    <col min="14" max="14" width="3.7109375" customWidth="1"/>
    <col min="15" max="15" width="20.28515625" customWidth="1"/>
    <col min="16" max="16" width="0.85546875" customWidth="1"/>
  </cols>
  <sheetData>
    <row r="1" spans="2:16" ht="8.65" customHeight="1" thickBot="1"/>
    <row r="2" spans="2:16" ht="30.4" customHeight="1">
      <c r="B2" s="552" t="s">
        <v>878</v>
      </c>
      <c r="C2" s="553"/>
      <c r="D2" s="553"/>
      <c r="E2" s="553"/>
      <c r="F2" s="553"/>
      <c r="G2" s="553"/>
      <c r="H2" s="553"/>
      <c r="I2" s="553"/>
      <c r="J2" s="554"/>
      <c r="L2" s="555" t="s">
        <v>879</v>
      </c>
      <c r="M2" s="556"/>
      <c r="N2" s="556"/>
      <c r="O2" s="556"/>
      <c r="P2" s="162"/>
    </row>
    <row r="3" spans="2:16">
      <c r="B3" s="41"/>
      <c r="J3" s="115"/>
      <c r="L3" s="41"/>
      <c r="P3" s="115"/>
    </row>
    <row r="4" spans="2:16" ht="43.5" customHeight="1">
      <c r="B4" s="41"/>
      <c r="I4" s="557" t="s">
        <v>880</v>
      </c>
      <c r="J4" s="115"/>
      <c r="L4" s="41"/>
      <c r="M4" s="557" t="s">
        <v>881</v>
      </c>
      <c r="O4" s="158" t="s">
        <v>882</v>
      </c>
      <c r="P4" s="115"/>
    </row>
    <row r="5" spans="2:16" ht="43.5" customHeight="1">
      <c r="B5" s="41"/>
      <c r="I5" s="557"/>
      <c r="J5" s="115"/>
      <c r="L5" s="41"/>
      <c r="M5" s="557"/>
      <c r="O5" s="158" t="s">
        <v>883</v>
      </c>
      <c r="P5" s="115"/>
    </row>
    <row r="6" spans="2:16" ht="4.9000000000000004" customHeight="1" thickBot="1">
      <c r="B6" s="41"/>
      <c r="J6" s="115"/>
      <c r="L6" s="41"/>
      <c r="P6" s="115"/>
    </row>
    <row r="7" spans="2:16" ht="13.9" customHeight="1">
      <c r="B7" s="41"/>
      <c r="C7" s="159" t="str">
        <f>'INPUT1 - Veh Geometry'!H8</f>
        <v>STLA-S</v>
      </c>
      <c r="D7" s="558" t="s">
        <v>884</v>
      </c>
      <c r="E7" s="558"/>
      <c r="F7" s="558"/>
      <c r="G7" s="559"/>
      <c r="H7"/>
      <c r="I7" s="128"/>
      <c r="J7" s="115"/>
      <c r="L7" s="41"/>
      <c r="M7" s="128"/>
      <c r="P7" s="115"/>
    </row>
    <row r="8" spans="2:16" ht="13.9" customHeight="1">
      <c r="B8" s="41"/>
      <c r="C8" s="160" t="str">
        <f>'INPUT1 - Veh Geometry'!I8</f>
        <v>J1X MHEV P2 FWD</v>
      </c>
      <c r="D8" s="546" t="s">
        <v>885</v>
      </c>
      <c r="E8" s="546"/>
      <c r="F8" s="546"/>
      <c r="G8" s="547"/>
      <c r="H8"/>
      <c r="I8" s="129" t="str">
        <f>'INPUT1 - Veh Geometry'!J8</f>
        <v>L2</v>
      </c>
      <c r="J8" s="115"/>
      <c r="L8" s="41"/>
      <c r="M8" s="129"/>
      <c r="P8" s="115"/>
    </row>
    <row r="9" spans="2:16" ht="13.9" customHeight="1">
      <c r="B9" s="41"/>
      <c r="C9" s="96"/>
      <c r="D9" s="546" t="s">
        <v>886</v>
      </c>
      <c r="E9" s="546"/>
      <c r="F9" s="546"/>
      <c r="G9" s="547"/>
      <c r="H9"/>
      <c r="I9" s="128"/>
      <c r="J9" s="115"/>
      <c r="L9" s="41"/>
      <c r="M9" s="128"/>
      <c r="P9" s="115"/>
    </row>
    <row r="10" spans="2:16" ht="13.9" customHeight="1">
      <c r="B10" s="41"/>
      <c r="C10" s="72"/>
      <c r="D10" s="546" t="s">
        <v>887</v>
      </c>
      <c r="E10" s="546"/>
      <c r="F10" s="546"/>
      <c r="G10" s="547"/>
      <c r="H10"/>
      <c r="I10" s="128"/>
      <c r="J10" s="115"/>
      <c r="L10" s="41"/>
      <c r="M10" s="128"/>
      <c r="P10" s="115"/>
    </row>
    <row r="11" spans="2:16" ht="13.9" customHeight="1">
      <c r="B11" s="41"/>
      <c r="C11" s="72"/>
      <c r="D11" s="546" t="s">
        <v>888</v>
      </c>
      <c r="E11" s="546"/>
      <c r="F11" s="546"/>
      <c r="G11" s="547"/>
      <c r="H11"/>
      <c r="I11" s="128"/>
      <c r="J11" s="115"/>
      <c r="L11" s="41"/>
      <c r="M11" s="128"/>
      <c r="P11" s="115"/>
    </row>
    <row r="12" spans="2:16" ht="13.9" customHeight="1">
      <c r="B12" s="41"/>
      <c r="C12" s="72"/>
      <c r="D12" s="546" t="s">
        <v>889</v>
      </c>
      <c r="E12" s="546"/>
      <c r="F12" s="546"/>
      <c r="G12" s="547"/>
      <c r="H12"/>
      <c r="I12" s="128"/>
      <c r="J12" s="115"/>
      <c r="L12" s="41"/>
      <c r="M12" s="128"/>
      <c r="P12" s="115"/>
    </row>
    <row r="13" spans="2:16" ht="13.9" customHeight="1">
      <c r="B13" s="41"/>
      <c r="C13" s="72"/>
      <c r="D13" s="546" t="s">
        <v>890</v>
      </c>
      <c r="E13" s="546"/>
      <c r="F13" s="546"/>
      <c r="G13" s="547"/>
      <c r="H13"/>
      <c r="I13" s="128"/>
      <c r="J13" s="115"/>
      <c r="L13" s="41"/>
      <c r="M13" s="128"/>
      <c r="P13" s="115"/>
    </row>
    <row r="14" spans="2:16" ht="13.9" customHeight="1">
      <c r="B14" s="41"/>
      <c r="C14" s="72"/>
      <c r="D14" s="546" t="s">
        <v>891</v>
      </c>
      <c r="E14" s="546"/>
      <c r="F14" s="546"/>
      <c r="G14" s="547"/>
      <c r="H14"/>
      <c r="I14" s="128"/>
      <c r="J14" s="115"/>
      <c r="L14" s="41"/>
      <c r="M14" s="128"/>
      <c r="P14" s="115"/>
    </row>
    <row r="15" spans="2:16" ht="13.9" customHeight="1">
      <c r="B15" s="41"/>
      <c r="C15" s="72"/>
      <c r="D15" s="546" t="s">
        <v>892</v>
      </c>
      <c r="E15" s="546"/>
      <c r="F15" s="546"/>
      <c r="G15" s="547"/>
      <c r="H15"/>
      <c r="I15" s="128"/>
      <c r="J15" s="115"/>
      <c r="L15" s="41"/>
      <c r="M15" s="128"/>
      <c r="P15" s="115"/>
    </row>
    <row r="16" spans="2:16" ht="13.9" customHeight="1">
      <c r="B16" s="41"/>
      <c r="C16" s="72"/>
      <c r="D16" s="546" t="s">
        <v>893</v>
      </c>
      <c r="E16" s="546"/>
      <c r="F16" s="546"/>
      <c r="G16" s="547"/>
      <c r="H16"/>
      <c r="I16" s="128"/>
      <c r="J16" s="115"/>
      <c r="L16" s="41"/>
      <c r="M16" s="128"/>
      <c r="P16" s="115"/>
    </row>
    <row r="17" spans="2:16" ht="13.9" customHeight="1" thickBot="1">
      <c r="B17" s="41"/>
      <c r="C17" s="73"/>
      <c r="D17" s="548" t="s">
        <v>894</v>
      </c>
      <c r="E17" s="548"/>
      <c r="F17" s="548"/>
      <c r="G17" s="549"/>
      <c r="H17"/>
      <c r="I17" s="128"/>
      <c r="J17" s="115"/>
      <c r="L17" s="41"/>
      <c r="M17" s="128"/>
      <c r="P17" s="115"/>
    </row>
    <row r="18" spans="2:16">
      <c r="B18" s="41"/>
      <c r="C18" s="74" t="s">
        <v>895</v>
      </c>
      <c r="D18" s="75"/>
      <c r="E18" s="135"/>
      <c r="F18" s="135"/>
      <c r="G18" s="135"/>
      <c r="H18"/>
      <c r="I18" s="76"/>
      <c r="J18" s="115"/>
      <c r="L18" s="41"/>
      <c r="M18" s="76"/>
      <c r="P18" s="115"/>
    </row>
    <row r="19" spans="2:16" ht="15" thickBot="1">
      <c r="B19" s="41"/>
      <c r="C19" s="77" t="s">
        <v>896</v>
      </c>
      <c r="D19" s="78"/>
      <c r="E19" s="135"/>
      <c r="F19" s="136"/>
      <c r="G19" s="136"/>
      <c r="H19"/>
      <c r="I19" s="132"/>
      <c r="J19" s="115"/>
      <c r="L19" s="41"/>
      <c r="M19" s="132"/>
      <c r="P19" s="115"/>
    </row>
    <row r="20" spans="2:16">
      <c r="B20" s="41"/>
      <c r="C20" s="137" t="s">
        <v>897</v>
      </c>
      <c r="D20" s="138"/>
      <c r="E20" s="139"/>
      <c r="F20" s="140"/>
      <c r="G20" s="140"/>
      <c r="H20"/>
      <c r="I20" s="141"/>
      <c r="J20" s="115"/>
      <c r="L20" s="41"/>
      <c r="M20" s="141"/>
      <c r="P20" s="115"/>
    </row>
    <row r="21" spans="2:16" ht="11.65" customHeight="1">
      <c r="B21" s="41"/>
      <c r="C21" s="142"/>
      <c r="D21" s="163"/>
      <c r="E21" s="164" t="s">
        <v>898</v>
      </c>
      <c r="F21" s="165"/>
      <c r="G21" s="166"/>
      <c r="H21"/>
      <c r="I21" s="98"/>
      <c r="J21" s="115"/>
      <c r="L21" s="41"/>
      <c r="M21" s="98"/>
      <c r="P21" s="115"/>
    </row>
    <row r="22" spans="2:16" ht="11.65" customHeight="1">
      <c r="B22" s="41"/>
      <c r="C22" s="142"/>
      <c r="D22" s="167"/>
      <c r="E22" s="168" t="s">
        <v>899</v>
      </c>
      <c r="F22" s="169"/>
      <c r="G22" s="170"/>
      <c r="H22"/>
      <c r="I22" s="98"/>
      <c r="J22" s="115"/>
      <c r="L22" s="41"/>
      <c r="M22" s="98"/>
      <c r="P22" s="115"/>
    </row>
    <row r="23" spans="2:16" ht="11.65" customHeight="1">
      <c r="B23" s="41"/>
      <c r="C23" s="79"/>
      <c r="D23" s="171"/>
      <c r="E23" s="172"/>
      <c r="F23" s="173"/>
      <c r="G23" s="174"/>
      <c r="H23"/>
      <c r="I23" s="99"/>
      <c r="J23" s="115"/>
      <c r="L23" s="41"/>
      <c r="M23" s="99"/>
      <c r="P23" s="115"/>
    </row>
    <row r="24" spans="2:16" ht="11.65" customHeight="1">
      <c r="B24" s="41"/>
      <c r="C24" s="142"/>
      <c r="D24" s="175"/>
      <c r="E24" s="175"/>
      <c r="F24" s="175"/>
      <c r="G24" s="175"/>
      <c r="H24"/>
      <c r="I24" s="133"/>
      <c r="J24" s="115"/>
      <c r="L24" s="41"/>
      <c r="M24" s="133"/>
      <c r="P24" s="115"/>
    </row>
    <row r="25" spans="2:16" ht="11.65" customHeight="1">
      <c r="B25" s="41"/>
      <c r="C25" s="144"/>
      <c r="D25" s="176"/>
      <c r="E25" s="177" t="s">
        <v>900</v>
      </c>
      <c r="F25" s="178"/>
      <c r="G25" s="179"/>
      <c r="H25"/>
      <c r="I25" s="130"/>
      <c r="J25" s="115"/>
      <c r="L25" s="41"/>
      <c r="M25" s="130"/>
      <c r="P25" s="115"/>
    </row>
    <row r="26" spans="2:16" ht="11.65" customHeight="1">
      <c r="B26" s="41"/>
      <c r="C26" s="144"/>
      <c r="D26" s="180"/>
      <c r="E26" s="181" t="s">
        <v>901</v>
      </c>
      <c r="F26" s="182"/>
      <c r="G26" s="183"/>
      <c r="H26"/>
      <c r="I26" s="130"/>
      <c r="J26" s="115"/>
      <c r="L26" s="41"/>
      <c r="M26" s="130"/>
      <c r="P26" s="115"/>
    </row>
    <row r="27" spans="2:16" ht="11.65" customHeight="1">
      <c r="B27" s="41"/>
      <c r="C27" s="144"/>
      <c r="D27" s="180"/>
      <c r="E27" s="181" t="s">
        <v>902</v>
      </c>
      <c r="F27" s="182"/>
      <c r="G27" s="183"/>
      <c r="H27"/>
      <c r="I27" s="130"/>
      <c r="J27" s="115"/>
      <c r="L27" s="41"/>
      <c r="M27" s="130"/>
      <c r="P27" s="115"/>
    </row>
    <row r="28" spans="2:16" ht="11.65" customHeight="1">
      <c r="B28" s="41"/>
      <c r="C28" s="144"/>
      <c r="D28" s="184"/>
      <c r="E28" s="185" t="s">
        <v>903</v>
      </c>
      <c r="F28" s="186"/>
      <c r="G28" s="187"/>
      <c r="H28"/>
      <c r="I28" s="130"/>
      <c r="J28" s="115"/>
      <c r="L28" s="41"/>
      <c r="M28" s="130"/>
      <c r="P28" s="115"/>
    </row>
    <row r="29" spans="2:16">
      <c r="B29" s="41"/>
      <c r="C29" s="142"/>
      <c r="D29" s="143"/>
      <c r="E29" s="143"/>
      <c r="F29" s="143"/>
      <c r="G29" s="143"/>
      <c r="H29" s="133"/>
      <c r="I29" s="133"/>
      <c r="J29" s="115"/>
      <c r="L29" s="41"/>
      <c r="M29" s="133"/>
      <c r="P29" s="115"/>
    </row>
    <row r="30" spans="2:16" ht="43.9" thickBot="1">
      <c r="B30" s="41"/>
      <c r="C30" s="145" t="s">
        <v>904</v>
      </c>
      <c r="D30" s="146"/>
      <c r="E30" s="146"/>
      <c r="F30" s="146"/>
      <c r="G30" s="146"/>
      <c r="H30" s="147" t="s">
        <v>905</v>
      </c>
      <c r="I30" s="148" t="s">
        <v>906</v>
      </c>
      <c r="J30" s="115"/>
      <c r="L30" s="41"/>
      <c r="M30" s="148"/>
      <c r="O30" s="158" t="s">
        <v>907</v>
      </c>
      <c r="P30" s="115"/>
    </row>
    <row r="31" spans="2:16">
      <c r="B31" s="41"/>
      <c r="C31" s="80" t="s">
        <v>908</v>
      </c>
      <c r="D31" s="81"/>
      <c r="E31" s="550" t="s">
        <v>909</v>
      </c>
      <c r="F31" s="551"/>
      <c r="G31" s="149"/>
      <c r="H31" s="100"/>
      <c r="I31" s="131">
        <f>SUM(I32:I47)</f>
        <v>109.94</v>
      </c>
      <c r="J31" s="115"/>
      <c r="L31" s="41"/>
      <c r="M31" s="82">
        <v>160</v>
      </c>
      <c r="O31" s="161">
        <f>IF(ISBLANK(M31),"/",1/M31*(I31-M31))</f>
        <v>-0.31287500000000001</v>
      </c>
      <c r="P31" s="115"/>
    </row>
    <row r="32" spans="2:16">
      <c r="B32" s="41"/>
      <c r="C32" s="83" t="s">
        <v>910</v>
      </c>
      <c r="D32" s="84" t="s">
        <v>911</v>
      </c>
      <c r="E32" s="85" t="s">
        <v>912</v>
      </c>
      <c r="F32" s="86">
        <v>0.7</v>
      </c>
      <c r="G32" s="134"/>
      <c r="H32" s="101"/>
      <c r="I32" s="85">
        <f>H32*F32</f>
        <v>0</v>
      </c>
      <c r="J32" s="115"/>
      <c r="L32" s="41"/>
      <c r="M32" s="85"/>
      <c r="O32" s="161" t="str">
        <f>IF(ISBLANK(M32),"/",1/M32*(I32-M32))</f>
        <v>/</v>
      </c>
      <c r="P32" s="115"/>
    </row>
    <row r="33" spans="2:16">
      <c r="B33" s="41"/>
      <c r="C33" s="83" t="s">
        <v>910</v>
      </c>
      <c r="D33" s="84" t="s">
        <v>913</v>
      </c>
      <c r="E33" s="85" t="s">
        <v>914</v>
      </c>
      <c r="F33" s="86">
        <v>0.7</v>
      </c>
      <c r="G33" s="134"/>
      <c r="H33" s="101">
        <f>'INPUT2 - Veh Sub-Syst Mass'!L233*'INPUT2 - Veh Sub-Syst Mass'!K233+'INPUT2 - Veh Sub-Syst Mass'!L234*'INPUT2 - Veh Sub-Syst Mass'!K234</f>
        <v>11.6</v>
      </c>
      <c r="I33" s="85">
        <f t="shared" ref="I33:I47" si="0">H33*F33</f>
        <v>8.1199999999999992</v>
      </c>
      <c r="J33" s="115"/>
      <c r="L33" s="41"/>
      <c r="M33" s="85">
        <v>11</v>
      </c>
      <c r="O33" s="161">
        <f t="shared" ref="O33:O47" si="1">IF(ISBLANK(M33),"/",1/M33*(I33-M33))</f>
        <v>-0.26181818181818189</v>
      </c>
      <c r="P33" s="115"/>
    </row>
    <row r="34" spans="2:16">
      <c r="B34" s="41"/>
      <c r="C34" s="83" t="s">
        <v>910</v>
      </c>
      <c r="D34" s="84" t="s">
        <v>915</v>
      </c>
      <c r="E34" s="85" t="s">
        <v>916</v>
      </c>
      <c r="F34" s="86">
        <v>0.7</v>
      </c>
      <c r="G34" s="134"/>
      <c r="H34" s="101"/>
      <c r="I34" s="85">
        <f t="shared" si="0"/>
        <v>0</v>
      </c>
      <c r="J34" s="115"/>
      <c r="L34" s="41"/>
      <c r="M34" s="85"/>
      <c r="O34" s="161" t="str">
        <f t="shared" si="1"/>
        <v>/</v>
      </c>
      <c r="P34" s="115"/>
    </row>
    <row r="35" spans="2:16">
      <c r="B35" s="41"/>
      <c r="C35" s="83" t="s">
        <v>910</v>
      </c>
      <c r="D35" s="84" t="s">
        <v>917</v>
      </c>
      <c r="E35" s="85" t="s">
        <v>918</v>
      </c>
      <c r="F35" s="86">
        <v>1</v>
      </c>
      <c r="G35" s="134"/>
      <c r="H35" s="101">
        <f>'INPUT2 - Veh Sub-Syst Mass'!L204*'INPUT2 - Veh Sub-Syst Mass'!K204</f>
        <v>5.7</v>
      </c>
      <c r="I35" s="85">
        <f t="shared" si="0"/>
        <v>5.7</v>
      </c>
      <c r="J35" s="115"/>
      <c r="L35" s="41"/>
      <c r="M35" s="85"/>
      <c r="O35" s="161" t="str">
        <f t="shared" si="1"/>
        <v>/</v>
      </c>
      <c r="P35" s="115"/>
    </row>
    <row r="36" spans="2:16">
      <c r="B36" s="41"/>
      <c r="C36" s="83" t="s">
        <v>910</v>
      </c>
      <c r="D36" s="84" t="s">
        <v>919</v>
      </c>
      <c r="E36" s="85" t="s">
        <v>920</v>
      </c>
      <c r="F36" s="86">
        <v>0.5</v>
      </c>
      <c r="G36" s="134"/>
      <c r="H36" s="101">
        <f>'INPUT2 - Veh Sub-Syst Mass'!K189*'INPUT2 - Veh Sub-Syst Mass'!L189+'INPUT2 - Veh Sub-Syst Mass'!K188*'INPUT2 - Veh Sub-Syst Mass'!L188</f>
        <v>88.6</v>
      </c>
      <c r="I36" s="85">
        <f t="shared" si="0"/>
        <v>44.3</v>
      </c>
      <c r="J36" s="115"/>
      <c r="L36" s="41"/>
      <c r="M36" s="85"/>
      <c r="O36" s="161" t="str">
        <f t="shared" si="1"/>
        <v>/</v>
      </c>
      <c r="P36" s="115"/>
    </row>
    <row r="37" spans="2:16">
      <c r="B37" s="41"/>
      <c r="C37" s="83" t="s">
        <v>910</v>
      </c>
      <c r="D37" s="84" t="s">
        <v>921</v>
      </c>
      <c r="E37" s="85" t="s">
        <v>922</v>
      </c>
      <c r="F37" s="86">
        <v>0.5</v>
      </c>
      <c r="G37" s="134"/>
      <c r="H37" s="101"/>
      <c r="I37" s="85">
        <f t="shared" si="0"/>
        <v>0</v>
      </c>
      <c r="J37" s="115"/>
      <c r="L37" s="41"/>
      <c r="M37" s="85"/>
      <c r="O37" s="161" t="str">
        <f t="shared" si="1"/>
        <v>/</v>
      </c>
      <c r="P37" s="115"/>
    </row>
    <row r="38" spans="2:16">
      <c r="B38" s="41"/>
      <c r="C38" s="83" t="s">
        <v>910</v>
      </c>
      <c r="D38" s="84" t="s">
        <v>923</v>
      </c>
      <c r="E38" s="85" t="s">
        <v>924</v>
      </c>
      <c r="F38" s="86">
        <v>0.5</v>
      </c>
      <c r="G38" s="134"/>
      <c r="H38" s="101"/>
      <c r="I38" s="85">
        <f t="shared" si="0"/>
        <v>0</v>
      </c>
      <c r="J38" s="115"/>
      <c r="L38" s="41"/>
      <c r="M38" s="85"/>
      <c r="O38" s="161" t="str">
        <f t="shared" si="1"/>
        <v>/</v>
      </c>
      <c r="P38" s="115"/>
    </row>
    <row r="39" spans="2:16">
      <c r="B39" s="41"/>
      <c r="C39" s="83" t="s">
        <v>910</v>
      </c>
      <c r="D39" s="84" t="s">
        <v>925</v>
      </c>
      <c r="E39" s="85" t="s">
        <v>926</v>
      </c>
      <c r="F39" s="86">
        <v>1</v>
      </c>
      <c r="G39" s="134"/>
      <c r="H39" s="101">
        <f>'INPUT2 - Veh Sub-Syst Mass'!L157*'INPUT2 - Veh Sub-Syst Mass'!K157</f>
        <v>15.8</v>
      </c>
      <c r="I39" s="85">
        <f t="shared" si="0"/>
        <v>15.8</v>
      </c>
      <c r="J39" s="115"/>
      <c r="L39" s="41"/>
      <c r="M39" s="85"/>
      <c r="O39" s="161" t="str">
        <f t="shared" si="1"/>
        <v>/</v>
      </c>
      <c r="P39" s="115"/>
    </row>
    <row r="40" spans="2:16">
      <c r="B40" s="41"/>
      <c r="C40" s="83" t="s">
        <v>910</v>
      </c>
      <c r="D40" s="84" t="s">
        <v>927</v>
      </c>
      <c r="E40" s="85" t="s">
        <v>928</v>
      </c>
      <c r="F40" s="86">
        <v>1</v>
      </c>
      <c r="G40" s="134"/>
      <c r="H40" s="101">
        <f>'INPUT2 - Veh Sub-Syst Mass'!L158*'INPUT2 - Veh Sub-Syst Mass'!K158+'INPUT2 - Veh Sub-Syst Mass'!L159*'INPUT2 - Veh Sub-Syst Mass'!K159</f>
        <v>13.62</v>
      </c>
      <c r="I40" s="85">
        <f t="shared" si="0"/>
        <v>13.62</v>
      </c>
      <c r="J40" s="115"/>
      <c r="L40" s="41"/>
      <c r="M40" s="85"/>
      <c r="O40" s="161" t="str">
        <f t="shared" si="1"/>
        <v>/</v>
      </c>
      <c r="P40" s="115"/>
    </row>
    <row r="41" spans="2:16">
      <c r="B41" s="41"/>
      <c r="C41" s="83" t="s">
        <v>929</v>
      </c>
      <c r="D41" s="84" t="s">
        <v>930</v>
      </c>
      <c r="E41" s="85" t="s">
        <v>931</v>
      </c>
      <c r="F41" s="86">
        <v>0.7</v>
      </c>
      <c r="G41" s="134"/>
      <c r="H41" s="101"/>
      <c r="I41" s="85">
        <f t="shared" si="0"/>
        <v>0</v>
      </c>
      <c r="J41" s="115"/>
      <c r="L41" s="41"/>
      <c r="M41" s="85"/>
      <c r="O41" s="161" t="str">
        <f t="shared" si="1"/>
        <v>/</v>
      </c>
      <c r="P41" s="115"/>
    </row>
    <row r="42" spans="2:16">
      <c r="B42" s="41"/>
      <c r="C42" s="83" t="s">
        <v>699</v>
      </c>
      <c r="D42" s="84" t="s">
        <v>932</v>
      </c>
      <c r="E42" s="85" t="s">
        <v>933</v>
      </c>
      <c r="F42" s="86">
        <v>0</v>
      </c>
      <c r="G42" s="134"/>
      <c r="H42" s="101">
        <f>'INPUT2 - Veh Sub-Syst Mass'!L200*'INPUT2 - Veh Sub-Syst Mass'!K200</f>
        <v>22.9</v>
      </c>
      <c r="I42" s="85">
        <f t="shared" si="0"/>
        <v>0</v>
      </c>
      <c r="J42" s="115"/>
      <c r="L42" s="41"/>
      <c r="M42" s="85"/>
      <c r="O42" s="161" t="str">
        <f t="shared" si="1"/>
        <v>/</v>
      </c>
      <c r="P42" s="115"/>
    </row>
    <row r="43" spans="2:16">
      <c r="B43" s="41"/>
      <c r="C43" s="83" t="s">
        <v>699</v>
      </c>
      <c r="D43" s="84" t="s">
        <v>934</v>
      </c>
      <c r="E43" s="85" t="s">
        <v>935</v>
      </c>
      <c r="F43" s="86">
        <v>0.4</v>
      </c>
      <c r="G43" s="134"/>
      <c r="H43" s="101">
        <f>'INPUT2 - Veh Sub-Syst Mass'!L202*'INPUT2 - Veh Sub-Syst Mass'!K202</f>
        <v>8.1</v>
      </c>
      <c r="I43" s="85">
        <f t="shared" si="0"/>
        <v>3.24</v>
      </c>
      <c r="J43" s="115"/>
      <c r="L43" s="41"/>
      <c r="M43" s="85"/>
      <c r="O43" s="161" t="str">
        <f t="shared" si="1"/>
        <v>/</v>
      </c>
      <c r="P43" s="115"/>
    </row>
    <row r="44" spans="2:16">
      <c r="B44" s="41"/>
      <c r="C44" s="83" t="s">
        <v>699</v>
      </c>
      <c r="D44" s="84" t="s">
        <v>936</v>
      </c>
      <c r="E44" s="85" t="s">
        <v>937</v>
      </c>
      <c r="F44" s="86">
        <v>0.8</v>
      </c>
      <c r="G44" s="134"/>
      <c r="H44" s="101">
        <f>'INPUT2 - Veh Sub-Syst Mass'!L198*'INPUT2 - Veh Sub-Syst Mass'!K198</f>
        <v>22.7</v>
      </c>
      <c r="I44" s="85">
        <f t="shared" si="0"/>
        <v>18.16</v>
      </c>
      <c r="J44" s="115"/>
      <c r="L44" s="41"/>
      <c r="M44" s="85"/>
      <c r="O44" s="161" t="str">
        <f t="shared" si="1"/>
        <v>/</v>
      </c>
      <c r="P44" s="115"/>
    </row>
    <row r="45" spans="2:16">
      <c r="B45" s="41"/>
      <c r="C45" s="83" t="s">
        <v>699</v>
      </c>
      <c r="D45" s="84" t="s">
        <v>938</v>
      </c>
      <c r="E45" s="85" t="s">
        <v>939</v>
      </c>
      <c r="F45" s="86">
        <v>0.2</v>
      </c>
      <c r="G45" s="134"/>
      <c r="H45" s="101">
        <f>'INPUT2 - Veh Sub-Syst Mass'!L203*'INPUT2 - Veh Sub-Syst Mass'!K203</f>
        <v>5</v>
      </c>
      <c r="I45" s="85">
        <f t="shared" si="0"/>
        <v>1</v>
      </c>
      <c r="J45" s="115"/>
      <c r="L45" s="41"/>
      <c r="M45" s="85"/>
      <c r="O45" s="161" t="str">
        <f t="shared" si="1"/>
        <v>/</v>
      </c>
      <c r="P45" s="115"/>
    </row>
    <row r="46" spans="2:16">
      <c r="B46" s="41"/>
      <c r="C46" s="87"/>
      <c r="D46" s="84"/>
      <c r="E46" s="85"/>
      <c r="F46" s="86"/>
      <c r="G46" s="134"/>
      <c r="H46" s="101"/>
      <c r="I46" s="85">
        <f t="shared" si="0"/>
        <v>0</v>
      </c>
      <c r="J46" s="115"/>
      <c r="L46" s="41"/>
      <c r="M46" s="85"/>
      <c r="O46" s="161" t="str">
        <f t="shared" si="1"/>
        <v>/</v>
      </c>
      <c r="P46" s="115"/>
    </row>
    <row r="47" spans="2:16" ht="15" thickBot="1">
      <c r="B47" s="41"/>
      <c r="C47" s="88"/>
      <c r="D47" s="89"/>
      <c r="E47" s="90"/>
      <c r="F47" s="91"/>
      <c r="G47" s="134"/>
      <c r="H47" s="101"/>
      <c r="I47" s="85">
        <f t="shared" si="0"/>
        <v>0</v>
      </c>
      <c r="J47" s="115"/>
      <c r="L47" s="41"/>
      <c r="M47" s="85"/>
      <c r="O47" s="161" t="str">
        <f t="shared" si="1"/>
        <v>/</v>
      </c>
      <c r="P47" s="115"/>
    </row>
    <row r="48" spans="2:16" ht="15" thickBot="1">
      <c r="B48" s="41"/>
      <c r="C48" s="144"/>
      <c r="D48" s="151"/>
      <c r="E48" s="150"/>
      <c r="F48" s="150"/>
      <c r="G48" s="150"/>
      <c r="H48" s="152"/>
      <c r="I48" s="134"/>
      <c r="J48" s="115"/>
      <c r="L48" s="41"/>
      <c r="M48" s="134"/>
      <c r="O48" s="134"/>
      <c r="P48" s="115"/>
    </row>
    <row r="49" spans="2:16">
      <c r="B49" s="41"/>
      <c r="C49" s="80" t="s">
        <v>940</v>
      </c>
      <c r="D49" s="81"/>
      <c r="E49" s="94" t="s">
        <v>909</v>
      </c>
      <c r="F49" s="95" t="s">
        <v>941</v>
      </c>
      <c r="G49" s="95" t="s">
        <v>942</v>
      </c>
      <c r="H49" s="100"/>
      <c r="I49" s="131">
        <f>SUM(I50:I66)</f>
        <v>101.34399999999999</v>
      </c>
      <c r="J49" s="115"/>
      <c r="L49" s="41"/>
      <c r="M49" s="82">
        <v>141</v>
      </c>
      <c r="O49" s="161">
        <f>IF(ISBLANK(M49),"/",1/M49*(I49-M49))</f>
        <v>-0.28124822695035462</v>
      </c>
      <c r="P49" s="115"/>
    </row>
    <row r="50" spans="2:16">
      <c r="B50" s="41"/>
      <c r="C50" s="83" t="s">
        <v>910</v>
      </c>
      <c r="D50" s="84" t="s">
        <v>943</v>
      </c>
      <c r="E50" s="85" t="s">
        <v>944</v>
      </c>
      <c r="F50" s="92">
        <v>0.7</v>
      </c>
      <c r="G50" s="92">
        <v>0.7</v>
      </c>
      <c r="H50" s="101"/>
      <c r="I50" s="85">
        <f>IF('INPUT1 - Veh Geometry'!$G$77="Twisted beam",'UNSPRUNG Mass estimation'!H50*'UNSPRUNG Mass estimation'!F50,'UNSPRUNG Mass estimation'!H50*'UNSPRUNG Mass estimation'!G50)</f>
        <v>0</v>
      </c>
      <c r="J50" s="115"/>
      <c r="L50" s="41"/>
      <c r="M50" s="85"/>
      <c r="O50" s="161" t="str">
        <f>IF(ISBLANK(M50),"/",1/M50*(I50-M50))</f>
        <v>/</v>
      </c>
      <c r="P50" s="115"/>
    </row>
    <row r="51" spans="2:16">
      <c r="B51" s="41"/>
      <c r="C51" s="83" t="s">
        <v>910</v>
      </c>
      <c r="D51" s="84" t="s">
        <v>945</v>
      </c>
      <c r="E51" s="85" t="s">
        <v>946</v>
      </c>
      <c r="F51" s="92">
        <v>1</v>
      </c>
      <c r="G51" s="92">
        <v>1</v>
      </c>
      <c r="H51" s="101"/>
      <c r="I51" s="85">
        <f>IF('INPUT1 - Veh Geometry'!$G$77="Twisted beam",'UNSPRUNG Mass estimation'!H51*'UNSPRUNG Mass estimation'!F51,'UNSPRUNG Mass estimation'!H51*'UNSPRUNG Mass estimation'!G51)</f>
        <v>0</v>
      </c>
      <c r="J51" s="115"/>
      <c r="L51" s="41"/>
      <c r="M51" s="85"/>
      <c r="O51" s="161" t="str">
        <f t="shared" ref="O51:O66" si="2">IF(ISBLANK(M51),"/",1/M51*(I51-M51))</f>
        <v>/</v>
      </c>
      <c r="P51" s="115"/>
    </row>
    <row r="52" spans="2:16">
      <c r="B52" s="41"/>
      <c r="C52" s="83" t="s">
        <v>910</v>
      </c>
      <c r="D52" s="84" t="s">
        <v>947</v>
      </c>
      <c r="E52" s="85" t="s">
        <v>948</v>
      </c>
      <c r="F52" s="92">
        <v>0.7</v>
      </c>
      <c r="G52" s="92">
        <v>0.7</v>
      </c>
      <c r="H52" s="101">
        <f>'INPUT2 - Veh Sub-Syst Mass'!L238*'INPUT2 - Veh Sub-Syst Mass'!K238+'INPUT2 - Veh Sub-Syst Mass'!L239*'INPUT2 - Veh Sub-Syst Mass'!K239</f>
        <v>0.2</v>
      </c>
      <c r="I52" s="85">
        <f>IF('INPUT1 - Veh Geometry'!$G$77="Twisted beam",'UNSPRUNG Mass estimation'!H52*'UNSPRUNG Mass estimation'!F52,'UNSPRUNG Mass estimation'!H52*'UNSPRUNG Mass estimation'!G52)</f>
        <v>0.13999999999999999</v>
      </c>
      <c r="J52" s="115"/>
      <c r="L52" s="41"/>
      <c r="M52" s="85"/>
      <c r="O52" s="161" t="str">
        <f t="shared" si="2"/>
        <v>/</v>
      </c>
      <c r="P52" s="115"/>
    </row>
    <row r="53" spans="2:16">
      <c r="B53" s="41"/>
      <c r="C53" s="83" t="s">
        <v>910</v>
      </c>
      <c r="D53" s="84" t="s">
        <v>949</v>
      </c>
      <c r="E53" s="85" t="s">
        <v>950</v>
      </c>
      <c r="F53" s="92">
        <v>1</v>
      </c>
      <c r="G53" s="92">
        <v>1</v>
      </c>
      <c r="H53" s="101">
        <f>'INPUT2 - Veh Sub-Syst Mass'!L196*'INPUT2 - Veh Sub-Syst Mass'!K196</f>
        <v>7.6</v>
      </c>
      <c r="I53" s="85">
        <f>IF('INPUT1 - Veh Geometry'!$G$77="Twisted beam",'UNSPRUNG Mass estimation'!H53*'UNSPRUNG Mass estimation'!F53,'UNSPRUNG Mass estimation'!H53*'UNSPRUNG Mass estimation'!G53)</f>
        <v>7.6</v>
      </c>
      <c r="J53" s="115"/>
      <c r="L53" s="41"/>
      <c r="M53" s="85"/>
      <c r="O53" s="161" t="str">
        <f t="shared" si="2"/>
        <v>/</v>
      </c>
      <c r="P53" s="115"/>
    </row>
    <row r="54" spans="2:16">
      <c r="B54" s="41"/>
      <c r="C54" s="83" t="s">
        <v>910</v>
      </c>
      <c r="D54" s="84" t="s">
        <v>919</v>
      </c>
      <c r="E54" s="85" t="s">
        <v>920</v>
      </c>
      <c r="F54" s="92">
        <v>0.5</v>
      </c>
      <c r="G54" s="92">
        <v>0.5</v>
      </c>
      <c r="H54" s="101">
        <f>'INPUT2 - Veh Sub-Syst Mass'!L187</f>
        <v>88.6</v>
      </c>
      <c r="I54" s="85">
        <f>IF('INPUT1 - Veh Geometry'!$G$77="Twisted beam",'UNSPRUNG Mass estimation'!H54*'UNSPRUNG Mass estimation'!F54,'UNSPRUNG Mass estimation'!H54*'UNSPRUNG Mass estimation'!G54)</f>
        <v>44.3</v>
      </c>
      <c r="J54" s="115"/>
      <c r="L54" s="41"/>
      <c r="M54" s="85"/>
      <c r="O54" s="161" t="str">
        <f t="shared" si="2"/>
        <v>/</v>
      </c>
      <c r="P54" s="115"/>
    </row>
    <row r="55" spans="2:16">
      <c r="B55" s="41"/>
      <c r="C55" s="83" t="s">
        <v>910</v>
      </c>
      <c r="D55" s="84" t="s">
        <v>921</v>
      </c>
      <c r="E55" s="85" t="s">
        <v>922</v>
      </c>
      <c r="F55" s="92">
        <v>0.5</v>
      </c>
      <c r="G55" s="92">
        <v>0.5</v>
      </c>
      <c r="H55" s="101"/>
      <c r="I55" s="85">
        <f>IF('INPUT1 - Veh Geometry'!$G$77="Twisted beam",'UNSPRUNG Mass estimation'!H55*'UNSPRUNG Mass estimation'!F55,'UNSPRUNG Mass estimation'!H55*'UNSPRUNG Mass estimation'!G55)</f>
        <v>0</v>
      </c>
      <c r="J55" s="115"/>
      <c r="L55" s="41"/>
      <c r="M55" s="85"/>
      <c r="O55" s="161" t="str">
        <f t="shared" si="2"/>
        <v>/</v>
      </c>
      <c r="P55" s="115"/>
    </row>
    <row r="56" spans="2:16">
      <c r="B56" s="41"/>
      <c r="C56" s="83" t="s">
        <v>910</v>
      </c>
      <c r="D56" s="84" t="s">
        <v>923</v>
      </c>
      <c r="E56" s="85" t="s">
        <v>924</v>
      </c>
      <c r="F56" s="92">
        <v>0.5</v>
      </c>
      <c r="G56" s="92">
        <v>0.5</v>
      </c>
      <c r="H56" s="101"/>
      <c r="I56" s="85">
        <f>IF('INPUT1 - Veh Geometry'!$G$77="Twisted beam",'UNSPRUNG Mass estimation'!H56*'UNSPRUNG Mass estimation'!F56,'UNSPRUNG Mass estimation'!H56*'UNSPRUNG Mass estimation'!G56)</f>
        <v>0</v>
      </c>
      <c r="J56" s="115"/>
      <c r="L56" s="41"/>
      <c r="M56" s="85"/>
      <c r="O56" s="161" t="str">
        <f t="shared" si="2"/>
        <v>/</v>
      </c>
      <c r="P56" s="115"/>
    </row>
    <row r="57" spans="2:16">
      <c r="B57" s="41"/>
      <c r="C57" s="83" t="s">
        <v>910</v>
      </c>
      <c r="D57" s="84" t="s">
        <v>951</v>
      </c>
      <c r="E57" s="85" t="s">
        <v>952</v>
      </c>
      <c r="F57" s="92">
        <v>1</v>
      </c>
      <c r="G57" s="92">
        <v>1</v>
      </c>
      <c r="H57" s="101">
        <f>'INPUT2 - Veh Sub-Syst Mass'!L153*'INPUT2 - Veh Sub-Syst Mass'!K153</f>
        <v>24.206</v>
      </c>
      <c r="I57" s="85">
        <f>IF('INPUT1 - Veh Geometry'!$G$77="Twisted beam",'UNSPRUNG Mass estimation'!H57*'UNSPRUNG Mass estimation'!F57,'UNSPRUNG Mass estimation'!H57*'UNSPRUNG Mass estimation'!G57)</f>
        <v>24.206</v>
      </c>
      <c r="J57" s="115"/>
      <c r="L57" s="41"/>
      <c r="M57" s="85"/>
      <c r="O57" s="161" t="str">
        <f t="shared" si="2"/>
        <v>/</v>
      </c>
      <c r="P57" s="115"/>
    </row>
    <row r="58" spans="2:16">
      <c r="B58" s="41"/>
      <c r="C58" s="83" t="s">
        <v>910</v>
      </c>
      <c r="D58" s="84" t="s">
        <v>953</v>
      </c>
      <c r="E58" s="85" t="s">
        <v>954</v>
      </c>
      <c r="F58" s="92">
        <v>1</v>
      </c>
      <c r="G58" s="92">
        <v>1</v>
      </c>
      <c r="H58" s="101">
        <f>'INPUT2 - Veh Sub-Syst Mass'!L154*'INPUT2 - Veh Sub-Syst Mass'!K154+'INPUT2 - Veh Sub-Syst Mass'!L155*'INPUT2 - Veh Sub-Syst Mass'!K155</f>
        <v>0</v>
      </c>
      <c r="I58" s="85">
        <f>IF('INPUT1 - Veh Geometry'!$G$77="Twisted beam",'UNSPRUNG Mass estimation'!H58*'UNSPRUNG Mass estimation'!F58,'UNSPRUNG Mass estimation'!H58*'UNSPRUNG Mass estimation'!G58)</f>
        <v>0</v>
      </c>
      <c r="J58" s="115"/>
      <c r="L58" s="41"/>
      <c r="M58" s="85"/>
      <c r="O58" s="161" t="str">
        <f t="shared" si="2"/>
        <v>/</v>
      </c>
      <c r="P58" s="115"/>
    </row>
    <row r="59" spans="2:16">
      <c r="B59" s="41"/>
      <c r="C59" s="83" t="s">
        <v>929</v>
      </c>
      <c r="D59" s="84" t="s">
        <v>955</v>
      </c>
      <c r="E59" s="85" t="s">
        <v>956</v>
      </c>
      <c r="F59" s="92">
        <v>0.35</v>
      </c>
      <c r="G59" s="92">
        <v>0.35</v>
      </c>
      <c r="H59" s="101"/>
      <c r="I59" s="85">
        <f>IF('INPUT1 - Veh Geometry'!$G$77="Twisted beam",'UNSPRUNG Mass estimation'!H59*'UNSPRUNG Mass estimation'!F59,'UNSPRUNG Mass estimation'!H59*'UNSPRUNG Mass estimation'!G59)</f>
        <v>0</v>
      </c>
      <c r="J59" s="115"/>
      <c r="L59" s="41"/>
      <c r="M59" s="85"/>
      <c r="O59" s="161" t="str">
        <f t="shared" si="2"/>
        <v>/</v>
      </c>
      <c r="P59" s="115"/>
    </row>
    <row r="60" spans="2:16">
      <c r="B60" s="41"/>
      <c r="C60" s="83" t="s">
        <v>699</v>
      </c>
      <c r="D60" s="84" t="s">
        <v>957</v>
      </c>
      <c r="E60" s="85" t="s">
        <v>958</v>
      </c>
      <c r="F60" s="97">
        <v>0.64</v>
      </c>
      <c r="G60" s="92">
        <v>0</v>
      </c>
      <c r="H60" s="101">
        <f>'INPUT2 - Veh Sub-Syst Mass'!L193*'INPUT2 - Veh Sub-Syst Mass'!K193</f>
        <v>30.7</v>
      </c>
      <c r="I60" s="85">
        <f>IF('INPUT1 - Veh Geometry'!$G$77="Twisted beam",'UNSPRUNG Mass estimation'!H60*'UNSPRUNG Mass estimation'!F60,'UNSPRUNG Mass estimation'!H60*'UNSPRUNG Mass estimation'!G60)</f>
        <v>19.648</v>
      </c>
      <c r="J60" s="115"/>
      <c r="L60" s="41"/>
      <c r="M60" s="85"/>
      <c r="O60" s="161" t="str">
        <f t="shared" si="2"/>
        <v>/</v>
      </c>
      <c r="P60" s="115"/>
    </row>
    <row r="61" spans="2:16">
      <c r="B61" s="41"/>
      <c r="C61" s="83" t="s">
        <v>699</v>
      </c>
      <c r="D61" s="84" t="s">
        <v>959</v>
      </c>
      <c r="E61" s="85" t="s">
        <v>960</v>
      </c>
      <c r="F61" s="92">
        <v>0.55000000000000004</v>
      </c>
      <c r="G61" s="92">
        <v>0.55000000000000004</v>
      </c>
      <c r="H61" s="101">
        <f>'INPUT2 - Veh Sub-Syst Mass'!L194*'INPUT2 - Veh Sub-Syst Mass'!K194</f>
        <v>0</v>
      </c>
      <c r="I61" s="85">
        <f>IF('INPUT1 - Veh Geometry'!$G$77="Twisted beam",'UNSPRUNG Mass estimation'!H61*'UNSPRUNG Mass estimation'!F61,'UNSPRUNG Mass estimation'!H61*'UNSPRUNG Mass estimation'!G61)</f>
        <v>0</v>
      </c>
      <c r="J61" s="115"/>
      <c r="L61" s="41"/>
      <c r="M61" s="85"/>
      <c r="O61" s="161" t="str">
        <f t="shared" si="2"/>
        <v>/</v>
      </c>
      <c r="P61" s="115"/>
    </row>
    <row r="62" spans="2:16">
      <c r="B62" s="41"/>
      <c r="C62" s="83" t="s">
        <v>699</v>
      </c>
      <c r="D62" s="84" t="s">
        <v>961</v>
      </c>
      <c r="E62" s="85" t="s">
        <v>962</v>
      </c>
      <c r="F62" s="92">
        <v>0.5</v>
      </c>
      <c r="G62" s="92">
        <v>0.5</v>
      </c>
      <c r="H62" s="101"/>
      <c r="I62" s="85">
        <f>IF('INPUT1 - Veh Geometry'!$G$77="Twisted beam",'UNSPRUNG Mass estimation'!H62*'UNSPRUNG Mass estimation'!F62,'UNSPRUNG Mass estimation'!H62*'UNSPRUNG Mass estimation'!G62)</f>
        <v>0</v>
      </c>
      <c r="J62" s="115"/>
      <c r="L62" s="41"/>
      <c r="M62" s="85"/>
      <c r="O62" s="161" t="str">
        <f t="shared" si="2"/>
        <v>/</v>
      </c>
      <c r="P62" s="115"/>
    </row>
    <row r="63" spans="2:16">
      <c r="B63" s="41"/>
      <c r="C63" s="83" t="s">
        <v>699</v>
      </c>
      <c r="D63" s="84" t="s">
        <v>963</v>
      </c>
      <c r="E63" s="85" t="s">
        <v>964</v>
      </c>
      <c r="F63" s="92">
        <v>0.5</v>
      </c>
      <c r="G63" s="97">
        <v>0.75</v>
      </c>
      <c r="H63" s="101">
        <f>'INPUT2 - Veh Sub-Syst Mass'!L191*'INPUT2 - Veh Sub-Syst Mass'!K191</f>
        <v>10.9</v>
      </c>
      <c r="I63" s="85">
        <f>IF('INPUT1 - Veh Geometry'!$G$77="Twisted beam",'UNSPRUNG Mass estimation'!H63*'UNSPRUNG Mass estimation'!F63,'UNSPRUNG Mass estimation'!H63*'UNSPRUNG Mass estimation'!G63)</f>
        <v>5.45</v>
      </c>
      <c r="J63" s="115"/>
      <c r="L63" s="41"/>
      <c r="M63" s="85"/>
      <c r="O63" s="161" t="str">
        <f t="shared" si="2"/>
        <v>/</v>
      </c>
      <c r="P63" s="115"/>
    </row>
    <row r="64" spans="2:16">
      <c r="B64" s="41"/>
      <c r="C64" s="83" t="s">
        <v>699</v>
      </c>
      <c r="D64" s="84" t="s">
        <v>965</v>
      </c>
      <c r="E64" s="85" t="s">
        <v>966</v>
      </c>
      <c r="F64" s="92">
        <v>0.2</v>
      </c>
      <c r="G64" s="92">
        <v>0.2</v>
      </c>
      <c r="H64" s="101">
        <f>'INPUT2 - Veh Sub-Syst Mass'!L195*'INPUT2 - Veh Sub-Syst Mass'!K195</f>
        <v>0</v>
      </c>
      <c r="I64" s="85">
        <f>IF('INPUT1 - Veh Geometry'!$G$77="Twisted beam",'UNSPRUNG Mass estimation'!H64*'UNSPRUNG Mass estimation'!F64,'UNSPRUNG Mass estimation'!H64*'UNSPRUNG Mass estimation'!G64)</f>
        <v>0</v>
      </c>
      <c r="J64" s="115"/>
      <c r="L64" s="41"/>
      <c r="M64" s="85"/>
      <c r="O64" s="161" t="str">
        <f t="shared" si="2"/>
        <v>/</v>
      </c>
      <c r="P64" s="115"/>
    </row>
    <row r="65" spans="2:16">
      <c r="B65" s="41"/>
      <c r="C65" s="87"/>
      <c r="D65" s="84"/>
      <c r="E65" s="85"/>
      <c r="F65" s="92"/>
      <c r="G65" s="92"/>
      <c r="H65" s="101"/>
      <c r="I65" s="85">
        <f>IF('INPUT1 - Veh Geometry'!$G$77="Twisted beam",'UNSPRUNG Mass estimation'!H65*'UNSPRUNG Mass estimation'!F65,'UNSPRUNG Mass estimation'!H65*'UNSPRUNG Mass estimation'!G65)</f>
        <v>0</v>
      </c>
      <c r="J65" s="115"/>
      <c r="L65" s="41"/>
      <c r="M65" s="85"/>
      <c r="O65" s="161" t="str">
        <f t="shared" si="2"/>
        <v>/</v>
      </c>
      <c r="P65" s="115"/>
    </row>
    <row r="66" spans="2:16" ht="15" thickBot="1">
      <c r="B66" s="41"/>
      <c r="C66" s="88"/>
      <c r="D66" s="89"/>
      <c r="E66" s="90"/>
      <c r="F66" s="93"/>
      <c r="G66" s="93"/>
      <c r="H66" s="101"/>
      <c r="I66" s="85">
        <f>IF('INPUT1 - Veh Geometry'!$G$77="Twisted beam",'UNSPRUNG Mass estimation'!H66*'UNSPRUNG Mass estimation'!F66,'UNSPRUNG Mass estimation'!H66*'UNSPRUNG Mass estimation'!G66)</f>
        <v>0</v>
      </c>
      <c r="J66" s="115"/>
      <c r="L66" s="41"/>
      <c r="M66" s="85"/>
      <c r="O66" s="161" t="str">
        <f t="shared" si="2"/>
        <v>/</v>
      </c>
      <c r="P66" s="115"/>
    </row>
    <row r="67" spans="2:16" ht="15" thickBot="1">
      <c r="B67" s="153"/>
      <c r="C67" s="154"/>
      <c r="D67" s="155"/>
      <c r="E67" s="156"/>
      <c r="F67" s="156"/>
      <c r="G67" s="156"/>
      <c r="H67" s="157"/>
      <c r="I67" s="157"/>
      <c r="J67" s="116"/>
      <c r="L67" s="153"/>
      <c r="M67" s="157"/>
      <c r="N67" s="40"/>
      <c r="O67" s="40"/>
      <c r="P67" s="116"/>
    </row>
  </sheetData>
  <mergeCells count="16">
    <mergeCell ref="B2:J2"/>
    <mergeCell ref="L2:O2"/>
    <mergeCell ref="I4:I5"/>
    <mergeCell ref="M4:M5"/>
    <mergeCell ref="D13:G13"/>
    <mergeCell ref="D7:G7"/>
    <mergeCell ref="D8:G8"/>
    <mergeCell ref="D9:G9"/>
    <mergeCell ref="D10:G10"/>
    <mergeCell ref="D11:G11"/>
    <mergeCell ref="D12:G12"/>
    <mergeCell ref="D14:G14"/>
    <mergeCell ref="D15:G15"/>
    <mergeCell ref="D16:G16"/>
    <mergeCell ref="D17:G17"/>
    <mergeCell ref="E31:F31"/>
  </mergeCells>
  <conditionalFormatting sqref="H30:I47">
    <cfRule type="cellIs" dxfId="36" priority="30" stopIfTrue="1" operator="equal">
      <formula>0</formula>
    </cfRule>
  </conditionalFormatting>
  <conditionalFormatting sqref="H49:I66">
    <cfRule type="cellIs" dxfId="35" priority="29" stopIfTrue="1" operator="equal">
      <formula>0</formula>
    </cfRule>
  </conditionalFormatting>
  <conditionalFormatting sqref="M30:M47 M49:M66">
    <cfRule type="cellIs" dxfId="34" priority="31" stopIfTrue="1" operator="equal">
      <formula>0</formula>
    </cfRule>
  </conditionalFormatting>
  <conditionalFormatting sqref="O31:O47 O49:O66">
    <cfRule type="cellIs" dxfId="33" priority="1" operator="equal">
      <formula>"/"</formula>
    </cfRule>
    <cfRule type="cellIs" dxfId="32" priority="3" operator="between">
      <formula>-0.03</formula>
      <formula>0.03</formula>
    </cfRule>
    <cfRule type="cellIs" dxfId="31" priority="8" operator="lessThan">
      <formula>-0.03</formula>
    </cfRule>
    <cfRule type="cellIs" dxfId="30" priority="11" operator="greaterThan">
      <formula>0.03</formula>
    </cfRule>
  </conditionalFormatting>
  <conditionalFormatting sqref="O31:O47">
    <cfRule type="cellIs" dxfId="29" priority="17" operator="equal">
      <formula>0</formula>
    </cfRule>
  </conditionalFormatting>
  <conditionalFormatting sqref="O49:O66">
    <cfRule type="cellIs" dxfId="28" priority="12" operator="equal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3">
    <tabColor theme="9" tint="-0.499984740745262"/>
  </sheetPr>
  <dimension ref="B1:U130"/>
  <sheetViews>
    <sheetView showGridLines="0" topLeftCell="C1" zoomScale="80" zoomScaleNormal="80" workbookViewId="0">
      <selection activeCell="D2" sqref="D2"/>
    </sheetView>
  </sheetViews>
  <sheetFormatPr defaultColWidth="10.85546875" defaultRowHeight="13.9" outlineLevelRow="1"/>
  <cols>
    <col min="1" max="1" width="1.28515625" style="228" customWidth="1"/>
    <col min="2" max="2" width="3.42578125" style="228" customWidth="1"/>
    <col min="3" max="3" width="5.5703125" style="228" customWidth="1"/>
    <col min="4" max="4" width="52" style="228" customWidth="1"/>
    <col min="5" max="5" width="20.28515625" style="228" customWidth="1"/>
    <col min="6" max="6" width="18.28515625" style="228" customWidth="1"/>
    <col min="7" max="7" width="2" style="228" customWidth="1"/>
    <col min="8" max="10" width="14.28515625" style="228" customWidth="1"/>
    <col min="11" max="11" width="5.28515625" style="228" customWidth="1"/>
    <col min="12" max="13" width="13" style="228" customWidth="1"/>
    <col min="14" max="14" width="1.28515625" style="228" customWidth="1"/>
    <col min="15" max="15" width="23.5703125" style="228" customWidth="1"/>
    <col min="16" max="16" width="0.7109375" style="228" customWidth="1"/>
    <col min="17" max="17" width="23.5703125" style="228" customWidth="1"/>
    <col min="18" max="18" width="0.5703125" style="228" customWidth="1"/>
    <col min="19" max="19" width="23.5703125" style="228" customWidth="1"/>
    <col min="20" max="20" width="3.5703125" style="228" customWidth="1"/>
    <col min="21" max="16384" width="10.85546875" style="228"/>
  </cols>
  <sheetData>
    <row r="1" spans="2:21" ht="4.1500000000000004" customHeight="1"/>
    <row r="2" spans="2:21" s="302" customFormat="1" ht="21">
      <c r="B2" s="344"/>
      <c r="C2" s="343"/>
      <c r="D2" s="346" t="s">
        <v>200</v>
      </c>
      <c r="E2" s="347" t="str">
        <f>'INPUT1 - Veh Geometry'!H8</f>
        <v>STLA-S</v>
      </c>
      <c r="F2" s="342"/>
      <c r="G2" s="343"/>
      <c r="H2" s="343" t="s">
        <v>201</v>
      </c>
      <c r="I2" s="348" t="str">
        <f>'INPUT1 - Veh Geometry'!I8</f>
        <v>J1X MHEV P2 FWD</v>
      </c>
      <c r="J2" s="343"/>
      <c r="K2" s="343"/>
      <c r="L2" s="539" t="s">
        <v>202</v>
      </c>
      <c r="M2" s="539"/>
      <c r="N2" s="343"/>
      <c r="O2" s="349" t="str">
        <f>'INPUT1 - Veh Geometry'!J8</f>
        <v>L2</v>
      </c>
      <c r="P2" s="343"/>
      <c r="Q2" s="343"/>
      <c r="R2" s="343"/>
      <c r="S2" s="343"/>
      <c r="T2" s="343"/>
      <c r="U2" s="345"/>
    </row>
    <row r="3" spans="2:21" ht="10.9" customHeight="1">
      <c r="B3" s="312"/>
      <c r="C3" s="235"/>
      <c r="D3" s="235"/>
      <c r="E3" s="235"/>
      <c r="F3" s="235"/>
      <c r="G3" s="235"/>
      <c r="H3" s="235"/>
      <c r="I3" s="235"/>
      <c r="J3" s="235"/>
      <c r="K3" s="235"/>
      <c r="L3" s="235"/>
      <c r="M3" s="235"/>
      <c r="N3" s="235"/>
      <c r="O3" s="235"/>
      <c r="P3" s="235"/>
      <c r="Q3" s="235"/>
      <c r="R3" s="235"/>
      <c r="S3" s="235"/>
      <c r="T3" s="235"/>
      <c r="U3" s="313"/>
    </row>
    <row r="4" spans="2:21" s="302" customFormat="1" ht="21">
      <c r="B4" s="303" t="s">
        <v>967</v>
      </c>
      <c r="C4" s="304"/>
      <c r="D4" s="304"/>
      <c r="E4" s="304"/>
      <c r="F4" s="304"/>
      <c r="G4" s="304"/>
      <c r="H4" s="304"/>
      <c r="I4" s="304"/>
      <c r="J4" s="304"/>
      <c r="K4" s="304"/>
      <c r="L4" s="304"/>
      <c r="M4" s="304"/>
      <c r="N4" s="304"/>
      <c r="O4" s="304"/>
      <c r="P4" s="304"/>
      <c r="Q4" s="304"/>
      <c r="R4" s="304"/>
      <c r="S4" s="304"/>
      <c r="T4" s="304"/>
      <c r="U4" s="305"/>
    </row>
    <row r="5" spans="2:21" ht="6.4" customHeight="1">
      <c r="B5" s="306"/>
      <c r="U5" s="307"/>
    </row>
    <row r="6" spans="2:21" ht="21">
      <c r="B6" s="306"/>
      <c r="C6" s="566" t="s">
        <v>968</v>
      </c>
      <c r="D6" s="567"/>
      <c r="E6" s="567"/>
      <c r="F6" s="567"/>
      <c r="G6" s="567"/>
      <c r="H6" s="567"/>
      <c r="I6" s="567"/>
      <c r="J6" s="567"/>
      <c r="K6" s="567"/>
      <c r="L6" s="567"/>
      <c r="M6" s="567"/>
      <c r="N6" s="567"/>
      <c r="O6" s="567"/>
      <c r="P6" s="567"/>
      <c r="Q6" s="567"/>
      <c r="R6" s="567"/>
      <c r="S6" s="567"/>
      <c r="T6" s="568"/>
      <c r="U6" s="307"/>
    </row>
    <row r="7" spans="2:21" ht="7.5" customHeight="1" thickBot="1">
      <c r="B7" s="306"/>
      <c r="C7" s="306"/>
      <c r="H7" s="308"/>
      <c r="I7" s="308"/>
      <c r="J7" s="308"/>
      <c r="L7" s="309"/>
      <c r="T7" s="307"/>
      <c r="U7" s="307"/>
    </row>
    <row r="8" spans="2:21" ht="15" customHeight="1" thickBot="1">
      <c r="B8" s="306"/>
      <c r="C8" s="306"/>
      <c r="H8" s="563" t="s">
        <v>969</v>
      </c>
      <c r="I8" s="564"/>
      <c r="J8" s="565"/>
      <c r="L8" s="563" t="s">
        <v>970</v>
      </c>
      <c r="M8" s="564"/>
      <c r="N8" s="564"/>
      <c r="O8" s="564"/>
      <c r="P8" s="564"/>
      <c r="Q8" s="564"/>
      <c r="R8" s="564"/>
      <c r="S8" s="581"/>
      <c r="T8" s="307"/>
      <c r="U8" s="307"/>
    </row>
    <row r="9" spans="2:21" ht="36" customHeight="1">
      <c r="B9" s="306"/>
      <c r="C9" s="306"/>
      <c r="O9" s="259" t="s">
        <v>971</v>
      </c>
      <c r="Q9" s="578" t="s">
        <v>972</v>
      </c>
      <c r="R9" s="579"/>
      <c r="S9" s="580"/>
      <c r="T9" s="307"/>
      <c r="U9" s="307"/>
    </row>
    <row r="10" spans="2:21" ht="14.45" thickBot="1">
      <c r="B10" s="306"/>
      <c r="C10" s="306"/>
      <c r="D10" s="309" t="s">
        <v>973</v>
      </c>
      <c r="E10" s="309"/>
      <c r="H10" s="229" t="s">
        <v>974</v>
      </c>
      <c r="I10" s="229" t="s">
        <v>674</v>
      </c>
      <c r="J10" s="229" t="s">
        <v>678</v>
      </c>
      <c r="L10" s="229" t="s">
        <v>975</v>
      </c>
      <c r="M10" s="229" t="s">
        <v>154</v>
      </c>
      <c r="O10" s="229" t="s">
        <v>976</v>
      </c>
      <c r="Q10" s="257" t="s">
        <v>976</v>
      </c>
      <c r="S10" s="229" t="s">
        <v>977</v>
      </c>
      <c r="T10" s="307"/>
      <c r="U10" s="307"/>
    </row>
    <row r="11" spans="2:21" ht="18.399999999999999" customHeight="1" thickBot="1">
      <c r="B11" s="306"/>
      <c r="C11" s="306"/>
      <c r="D11" s="560" t="s">
        <v>978</v>
      </c>
      <c r="E11" s="561"/>
      <c r="F11" s="562"/>
      <c r="H11" s="260">
        <f>'INPUT2 - Veh Sub-Syst Mass'!D276</f>
        <v>1245.0049999999999</v>
      </c>
      <c r="I11" s="261">
        <f>'INPUT2 - Veh Sub-Syst Mass'!F276</f>
        <v>774.56828756313121</v>
      </c>
      <c r="J11" s="262">
        <f>'INPUT2 - Veh Sub-Syst Mass'!H276</f>
        <v>470.43671243686862</v>
      </c>
      <c r="L11" s="263">
        <f>'INPUT2 - Veh Sub-Syst Mass'!O276</f>
        <v>955.04854063504433</v>
      </c>
      <c r="M11" s="264">
        <f>'INPUT2 - Veh Sub-Syst Mass'!Q276</f>
        <v>-25.234290518244244</v>
      </c>
      <c r="O11" s="275">
        <f>'INPUT2 - Veh Sub-Syst Mass'!S276</f>
        <v>289.201199432934</v>
      </c>
      <c r="Q11" s="275">
        <f>+'INPUT2 - Veh Sub-Syst Mass'!T276</f>
        <v>289.14877996473911</v>
      </c>
      <c r="T11" s="307"/>
      <c r="U11" s="307"/>
    </row>
    <row r="12" spans="2:21" ht="14.45" thickBot="1">
      <c r="B12" s="306"/>
      <c r="C12" s="306"/>
      <c r="T12" s="307"/>
      <c r="U12" s="307"/>
    </row>
    <row r="13" spans="2:21" ht="18.399999999999999" customHeight="1">
      <c r="B13" s="306"/>
      <c r="C13" s="306"/>
      <c r="D13" s="594" t="s">
        <v>979</v>
      </c>
      <c r="E13" s="595"/>
      <c r="F13" s="232" t="s">
        <v>980</v>
      </c>
      <c r="H13" s="265">
        <f>'INPUT2 - Veh Sub-Syst Mass'!D268</f>
        <v>109.94</v>
      </c>
      <c r="I13" s="266">
        <f>'INPUT2 - Veh Sub-Syst Mass'!F268</f>
        <v>110.55151515151515</v>
      </c>
      <c r="J13" s="267">
        <f>'INPUT2 - Veh Sub-Syst Mass'!H268</f>
        <v>-0.61151515151515168</v>
      </c>
      <c r="L13" s="271">
        <f>'INPUT2 - Veh Sub-Syst Mass'!O268</f>
        <v>-57.184373294524292</v>
      </c>
      <c r="M13" s="273">
        <f>'INPUT2 - Veh Sub-Syst Mass'!Q268</f>
        <v>0</v>
      </c>
      <c r="O13" s="276">
        <f>'INPUT2 - Veh Sub-Syst Mass'!S268</f>
        <v>110.34131344369659</v>
      </c>
      <c r="Q13" s="276">
        <f>'INPUT2 - Veh Sub-Syst Mass'!T268</f>
        <v>92.163398217209362</v>
      </c>
      <c r="T13" s="307"/>
      <c r="U13" s="307"/>
    </row>
    <row r="14" spans="2:21" ht="18.399999999999999" customHeight="1" thickBot="1">
      <c r="B14" s="306"/>
      <c r="C14" s="306"/>
      <c r="D14" s="596"/>
      <c r="E14" s="597"/>
      <c r="F14" s="233" t="s">
        <v>715</v>
      </c>
      <c r="H14" s="268">
        <f>'INPUT2 - Veh Sub-Syst Mass'!D269</f>
        <v>101.34399999999999</v>
      </c>
      <c r="I14" s="269">
        <f>'INPUT2 - Veh Sub-Syst Mass'!F269</f>
        <v>-3.0636837121212039</v>
      </c>
      <c r="J14" s="270">
        <f>'INPUT2 - Veh Sub-Syst Mass'!H269</f>
        <v>104.4076837121212</v>
      </c>
      <c r="L14" s="272">
        <f>'INPUT2 - Veh Sub-Syst Mass'!O269</f>
        <v>2677.3086221187241</v>
      </c>
      <c r="M14" s="274">
        <f>'INPUT2 - Veh Sub-Syst Mass'!Q269</f>
        <v>0</v>
      </c>
      <c r="O14" s="277">
        <f>'INPUT2 - Veh Sub-Syst Mass'!S269</f>
        <v>78.236442216608793</v>
      </c>
      <c r="Q14" s="277">
        <f>'INPUT2 - Veh Sub-Syst Mass'!T269</f>
        <v>38.051246250394705</v>
      </c>
      <c r="T14" s="307"/>
      <c r="U14" s="307"/>
    </row>
    <row r="15" spans="2:21" ht="18.399999999999999" customHeight="1" thickBot="1">
      <c r="B15" s="306"/>
      <c r="C15" s="306"/>
      <c r="D15" s="598"/>
      <c r="E15" s="599"/>
      <c r="F15" s="233" t="s">
        <v>981</v>
      </c>
      <c r="H15" s="268">
        <f>H13+H14</f>
        <v>211.28399999999999</v>
      </c>
      <c r="I15" s="269">
        <f t="shared" ref="I15:J15" si="0">I13+I14</f>
        <v>107.48783143939394</v>
      </c>
      <c r="J15" s="270">
        <f t="shared" si="0"/>
        <v>103.79616856060605</v>
      </c>
      <c r="K15" s="536"/>
      <c r="L15" s="272">
        <f>($H13*L13+$H14*L14)/$H15</f>
        <v>1254.4362800779993</v>
      </c>
      <c r="M15" s="274">
        <f>($H13*M13+$H14*M14)/$H15</f>
        <v>0</v>
      </c>
      <c r="O15" s="277">
        <f>($H13*O13+$H14*O14)/$H15</f>
        <v>94.94196437023156</v>
      </c>
      <c r="Q15" s="277">
        <f>($H13*Q13+$H14*Q14)/$H15</f>
        <v>66.208087219098459</v>
      </c>
      <c r="T15" s="307"/>
      <c r="U15" s="307"/>
    </row>
    <row r="16" spans="2:21" ht="14.45" thickBot="1">
      <c r="B16" s="306"/>
      <c r="C16" s="306"/>
      <c r="T16" s="307"/>
      <c r="U16" s="307"/>
    </row>
    <row r="17" spans="2:21" ht="18.399999999999999" customHeight="1" thickBot="1">
      <c r="B17" s="306"/>
      <c r="C17" s="306"/>
      <c r="D17" s="560" t="s">
        <v>982</v>
      </c>
      <c r="E17" s="561"/>
      <c r="F17" s="562"/>
      <c r="H17" s="279">
        <f>H11+H13+H14</f>
        <v>1456.289</v>
      </c>
      <c r="I17" s="280">
        <f t="shared" ref="I17:J17" si="1">I11+I13+I14</f>
        <v>882.05611900252507</v>
      </c>
      <c r="J17" s="281">
        <f t="shared" si="1"/>
        <v>574.23288099747469</v>
      </c>
      <c r="K17" s="310"/>
      <c r="L17" s="282">
        <f>'INPUT2 - Veh Sub-Syst Mass'!O274</f>
        <v>998.48486346688958</v>
      </c>
      <c r="M17" s="283">
        <f>'INPUT2 - Veh Sub-Syst Mass'!Q274</f>
        <v>-21.573202754856126</v>
      </c>
      <c r="N17" s="310"/>
      <c r="O17" s="284">
        <f>'INPUT2 - Veh Sub-Syst Mass'!S274</f>
        <v>261.01732369055867</v>
      </c>
      <c r="P17" s="310"/>
      <c r="Q17" s="284">
        <f>SUMPRODUCT(H11:H14,Q11:Q14)/SUM(H11:H14)</f>
        <v>256.80368821023848</v>
      </c>
      <c r="R17" s="310"/>
      <c r="S17" s="284">
        <f>Q17-H26+((L17-'INPUT1 - Veh Geometry'!H61)/'INPUT1 - Veh Geometry'!H33)*(H26-I26)</f>
        <v>558.66149941731135</v>
      </c>
      <c r="T17" s="307"/>
      <c r="U17" s="307"/>
    </row>
    <row r="18" spans="2:21" ht="7.15" customHeight="1" thickBot="1">
      <c r="B18" s="306"/>
      <c r="C18" s="306"/>
      <c r="T18" s="307"/>
      <c r="U18" s="307"/>
    </row>
    <row r="19" spans="2:21" ht="18.399999999999999" customHeight="1" thickBot="1">
      <c r="B19" s="306"/>
      <c r="C19" s="306"/>
      <c r="H19" s="256" t="s">
        <v>983</v>
      </c>
      <c r="I19" s="278">
        <f>I17/H17</f>
        <v>0.6056875517170871</v>
      </c>
      <c r="T19" s="307"/>
      <c r="U19" s="307"/>
    </row>
    <row r="20" spans="2:21" ht="18.399999999999999" customHeight="1">
      <c r="B20" s="306"/>
      <c r="C20" s="306"/>
      <c r="T20" s="307"/>
      <c r="U20" s="307"/>
    </row>
    <row r="21" spans="2:21" ht="16.899999999999999" customHeight="1">
      <c r="B21" s="306"/>
      <c r="C21" s="306"/>
      <c r="D21" s="311" t="s">
        <v>984</v>
      </c>
      <c r="E21" s="311"/>
      <c r="F21" s="311"/>
      <c r="G21" s="311"/>
      <c r="H21" s="311"/>
      <c r="I21" s="311"/>
      <c r="J21" s="311"/>
      <c r="K21" s="311"/>
      <c r="L21" s="311"/>
      <c r="M21" s="311"/>
      <c r="N21" s="311"/>
      <c r="O21" s="311"/>
      <c r="P21" s="311"/>
      <c r="Q21" s="311"/>
      <c r="R21" s="311"/>
      <c r="S21" s="311"/>
      <c r="T21" s="307"/>
      <c r="U21" s="307"/>
    </row>
    <row r="22" spans="2:21" ht="7.15" customHeight="1" thickBot="1">
      <c r="B22" s="306"/>
      <c r="C22" s="306"/>
      <c r="T22" s="307"/>
      <c r="U22" s="307"/>
    </row>
    <row r="23" spans="2:21" ht="25.15" customHeight="1" thickBot="1">
      <c r="B23" s="306"/>
      <c r="C23" s="306"/>
      <c r="D23" s="230"/>
      <c r="E23" s="230"/>
      <c r="H23" s="234" t="s">
        <v>985</v>
      </c>
      <c r="I23" s="231" t="s">
        <v>986</v>
      </c>
      <c r="T23" s="307"/>
      <c r="U23" s="307"/>
    </row>
    <row r="24" spans="2:21" ht="18.399999999999999" customHeight="1">
      <c r="B24" s="306"/>
      <c r="C24" s="306"/>
      <c r="D24" s="569" t="s">
        <v>987</v>
      </c>
      <c r="E24" s="570"/>
      <c r="F24" s="571"/>
      <c r="H24" s="293">
        <f>'INPUT1 - Veh Geometry'!J61-'INPUT1 - Veh Geometry'!J62+'INPUT1 - Veh Geometry'!J63</f>
        <v>45</v>
      </c>
      <c r="I24" s="294">
        <f>'INPUT1 - Veh Geometry'!J72-'INPUT1 - Veh Geometry'!J73+'INPUT1 - Veh Geometry'!J74</f>
        <v>25</v>
      </c>
      <c r="T24" s="307"/>
      <c r="U24" s="307"/>
    </row>
    <row r="25" spans="2:21" ht="18.399999999999999" customHeight="1">
      <c r="B25" s="306"/>
      <c r="C25" s="306"/>
      <c r="D25" s="572" t="s">
        <v>988</v>
      </c>
      <c r="E25" s="573"/>
      <c r="F25" s="574"/>
      <c r="H25" s="295">
        <f>'INPUT1 - Veh Geometry'!H83+6</f>
        <v>339</v>
      </c>
      <c r="I25" s="296">
        <f>'INPUT1 - Veh Geometry'!I83+6</f>
        <v>343</v>
      </c>
      <c r="T25" s="307"/>
      <c r="U25" s="307"/>
    </row>
    <row r="26" spans="2:21" ht="18.399999999999999" customHeight="1" thickBot="1">
      <c r="B26" s="306"/>
      <c r="C26" s="306"/>
      <c r="D26" s="575" t="s">
        <v>989</v>
      </c>
      <c r="E26" s="576"/>
      <c r="F26" s="577"/>
      <c r="H26" s="297">
        <f>'INPUT1 - Veh Geometry'!J63</f>
        <v>-292</v>
      </c>
      <c r="I26" s="298">
        <f>'INPUT1 - Veh Geometry'!J74</f>
        <v>-317</v>
      </c>
      <c r="T26" s="307"/>
      <c r="U26" s="307"/>
    </row>
    <row r="27" spans="2:21">
      <c r="B27" s="306"/>
      <c r="C27" s="312"/>
      <c r="D27" s="235"/>
      <c r="E27" s="235"/>
      <c r="F27" s="235"/>
      <c r="G27" s="235"/>
      <c r="H27" s="235"/>
      <c r="I27" s="235"/>
      <c r="J27" s="235"/>
      <c r="K27" s="235"/>
      <c r="L27" s="235"/>
      <c r="M27" s="235"/>
      <c r="N27" s="235"/>
      <c r="O27" s="235"/>
      <c r="P27" s="235"/>
      <c r="Q27" s="235"/>
      <c r="R27" s="235"/>
      <c r="S27" s="235"/>
      <c r="T27" s="313"/>
      <c r="U27" s="307"/>
    </row>
    <row r="28" spans="2:21">
      <c r="B28" s="306"/>
      <c r="U28" s="307"/>
    </row>
    <row r="29" spans="2:21">
      <c r="B29" s="306"/>
      <c r="U29" s="307"/>
    </row>
    <row r="30" spans="2:21" ht="21">
      <c r="B30" s="306"/>
      <c r="C30" s="566" t="s">
        <v>990</v>
      </c>
      <c r="D30" s="567"/>
      <c r="E30" s="567"/>
      <c r="F30" s="567"/>
      <c r="G30" s="567"/>
      <c r="H30" s="567"/>
      <c r="I30" s="567"/>
      <c r="J30" s="567"/>
      <c r="K30" s="567"/>
      <c r="L30" s="567"/>
      <c r="M30" s="567"/>
      <c r="N30" s="567"/>
      <c r="O30" s="567"/>
      <c r="P30" s="567"/>
      <c r="Q30" s="567"/>
      <c r="R30" s="567"/>
      <c r="S30" s="567"/>
      <c r="T30" s="568"/>
      <c r="U30" s="307"/>
    </row>
    <row r="31" spans="2:21" ht="7.5" customHeight="1" thickBot="1">
      <c r="B31" s="306"/>
      <c r="C31" s="306"/>
      <c r="H31" s="308"/>
      <c r="I31" s="308"/>
      <c r="J31" s="308"/>
      <c r="L31" s="309"/>
      <c r="T31" s="307"/>
      <c r="U31" s="307"/>
    </row>
    <row r="32" spans="2:21" ht="15" customHeight="1" thickBot="1">
      <c r="B32" s="306"/>
      <c r="C32" s="306"/>
      <c r="H32" s="563" t="s">
        <v>969</v>
      </c>
      <c r="I32" s="564"/>
      <c r="J32" s="565"/>
      <c r="L32" s="563" t="s">
        <v>970</v>
      </c>
      <c r="M32" s="564"/>
      <c r="N32" s="564"/>
      <c r="O32" s="564"/>
      <c r="P32" s="564"/>
      <c r="Q32" s="564"/>
      <c r="R32" s="564"/>
      <c r="S32" s="581"/>
      <c r="T32" s="307"/>
      <c r="U32" s="307"/>
    </row>
    <row r="33" spans="2:21" ht="36" customHeight="1">
      <c r="B33" s="306"/>
      <c r="C33" s="306"/>
      <c r="O33" s="259" t="s">
        <v>971</v>
      </c>
      <c r="Q33" s="578" t="s">
        <v>991</v>
      </c>
      <c r="R33" s="579"/>
      <c r="S33" s="580"/>
      <c r="T33" s="307"/>
      <c r="U33" s="307"/>
    </row>
    <row r="34" spans="2:21" ht="14.45" thickBot="1">
      <c r="B34" s="306"/>
      <c r="C34" s="306"/>
      <c r="D34" s="309" t="s">
        <v>992</v>
      </c>
      <c r="E34" s="309"/>
      <c r="H34" s="229" t="s">
        <v>974</v>
      </c>
      <c r="I34" s="229" t="s">
        <v>674</v>
      </c>
      <c r="J34" s="229" t="s">
        <v>678</v>
      </c>
      <c r="L34" s="229" t="s">
        <v>975</v>
      </c>
      <c r="M34" s="229" t="s">
        <v>154</v>
      </c>
      <c r="O34" s="229" t="s">
        <v>976</v>
      </c>
      <c r="Q34" s="257" t="s">
        <v>976</v>
      </c>
      <c r="S34" s="229" t="s">
        <v>977</v>
      </c>
      <c r="T34" s="307"/>
      <c r="U34" s="307"/>
    </row>
    <row r="35" spans="2:21" ht="18.399999999999999" customHeight="1" thickBot="1">
      <c r="B35" s="306"/>
      <c r="C35" s="306"/>
      <c r="D35" s="560" t="s">
        <v>978</v>
      </c>
      <c r="E35" s="561"/>
      <c r="F35" s="562"/>
      <c r="H35" s="260">
        <f>'INPUT2 - Veh Sub-Syst Mass'!D276+SUM('INPUT2 - Veh Sub-Syst Mass'!D279:D283)</f>
        <v>1716.009</v>
      </c>
      <c r="I35" s="261">
        <f>'INPUT2 - Veh Sub-Syst Mass'!F276+SUM('INPUT2 - Veh Sub-Syst Mass'!F279:F283)</f>
        <v>885.20714877693285</v>
      </c>
      <c r="J35" s="262">
        <f>'INPUT2 - Veh Sub-Syst Mass'!H276+SUM('INPUT2 - Veh Sub-Syst Mass'!H279:H283)</f>
        <v>830.80185122306705</v>
      </c>
      <c r="L35" s="263">
        <f>($H41*L41-$H37*L37-$H38*L38)/$H35</f>
        <v>1235.6499906054671</v>
      </c>
      <c r="M35" s="264">
        <f>($H41*M41-$H37*M37-$H38*M38)/$H35</f>
        <v>-18.308072898607566</v>
      </c>
      <c r="O35" s="275">
        <f>($H41*O41-$H37*O37-$H38*O38)/$H35</f>
        <v>317.67195818903048</v>
      </c>
      <c r="Q35" s="275">
        <f>($H41*Q41-$H37*Q37-$H38*Q38)/$H35</f>
        <v>317.66719277113361</v>
      </c>
      <c r="T35" s="307"/>
      <c r="U35" s="307"/>
    </row>
    <row r="36" spans="2:21" ht="14.45" thickBot="1">
      <c r="B36" s="306"/>
      <c r="C36" s="306"/>
      <c r="T36" s="307"/>
      <c r="U36" s="307"/>
    </row>
    <row r="37" spans="2:21" ht="18.399999999999999" customHeight="1">
      <c r="B37" s="306"/>
      <c r="C37" s="306"/>
      <c r="D37" s="594" t="s">
        <v>979</v>
      </c>
      <c r="E37" s="595"/>
      <c r="F37" s="232" t="s">
        <v>980</v>
      </c>
      <c r="H37" s="265">
        <f t="shared" ref="H37:J37" si="2">H13</f>
        <v>109.94</v>
      </c>
      <c r="I37" s="266">
        <f t="shared" si="2"/>
        <v>110.55151515151515</v>
      </c>
      <c r="J37" s="267">
        <f t="shared" si="2"/>
        <v>-0.61151515151515168</v>
      </c>
      <c r="L37" s="271">
        <f>L13</f>
        <v>-57.184373294524292</v>
      </c>
      <c r="M37" s="273">
        <f t="shared" ref="M37:M38" si="3">M13</f>
        <v>0</v>
      </c>
      <c r="O37" s="276">
        <f t="shared" ref="O37:O38" si="4">O13</f>
        <v>110.34131344369659</v>
      </c>
      <c r="Q37" s="276">
        <f>'INPUT2 - Veh Sub-Syst Mass'!U268</f>
        <v>113.64638893942148</v>
      </c>
      <c r="T37" s="307"/>
      <c r="U37" s="307"/>
    </row>
    <row r="38" spans="2:21" ht="18.399999999999999" customHeight="1" thickBot="1">
      <c r="B38" s="306"/>
      <c r="C38" s="306"/>
      <c r="D38" s="596"/>
      <c r="E38" s="597"/>
      <c r="F38" s="233" t="s">
        <v>715</v>
      </c>
      <c r="H38" s="268">
        <f t="shared" ref="H38:J38" si="5">H14</f>
        <v>101.34399999999999</v>
      </c>
      <c r="I38" s="269">
        <f t="shared" si="5"/>
        <v>-3.0636837121212039</v>
      </c>
      <c r="J38" s="270">
        <f t="shared" si="5"/>
        <v>104.4076837121212</v>
      </c>
      <c r="L38" s="272">
        <f t="shared" ref="L38" si="6">L14</f>
        <v>2677.3086221187241</v>
      </c>
      <c r="M38" s="274">
        <f t="shared" si="3"/>
        <v>0</v>
      </c>
      <c r="O38" s="277">
        <f t="shared" si="4"/>
        <v>78.236442216608793</v>
      </c>
      <c r="Q38" s="277">
        <f>'INPUT2 - Veh Sub-Syst Mass'!U269</f>
        <v>102.66273780391539</v>
      </c>
      <c r="T38" s="307"/>
      <c r="U38" s="307"/>
    </row>
    <row r="39" spans="2:21" ht="18.399999999999999" customHeight="1" thickBot="1">
      <c r="B39" s="306"/>
      <c r="C39" s="306"/>
      <c r="D39" s="598"/>
      <c r="E39" s="599"/>
      <c r="F39" s="233" t="s">
        <v>981</v>
      </c>
      <c r="H39" s="268">
        <f>H37+H38</f>
        <v>211.28399999999999</v>
      </c>
      <c r="I39" s="269">
        <f t="shared" ref="I39" si="7">I37+I38</f>
        <v>107.48783143939394</v>
      </c>
      <c r="J39" s="270">
        <f t="shared" ref="J39" si="8">J37+J38</f>
        <v>103.79616856060605</v>
      </c>
      <c r="L39" s="272">
        <f>($H37*L37+$H38*L38)/$H39</f>
        <v>1254.4362800779993</v>
      </c>
      <c r="M39" s="274">
        <f>($H37*M37+$H38*M38)/$H39</f>
        <v>0</v>
      </c>
      <c r="O39" s="277">
        <f>($H37*O37+$H38*O38)/$H39</f>
        <v>94.94196437023156</v>
      </c>
      <c r="Q39" s="277">
        <f>($H37*Q37+$H38*Q38)/$H39</f>
        <v>108.37799596751292</v>
      </c>
      <c r="T39" s="307"/>
      <c r="U39" s="307"/>
    </row>
    <row r="40" spans="2:21" ht="14.45" thickBot="1">
      <c r="B40" s="306"/>
      <c r="C40" s="306"/>
      <c r="T40" s="307"/>
      <c r="U40" s="307"/>
    </row>
    <row r="41" spans="2:21" ht="18.399999999999999" customHeight="1" thickBot="1">
      <c r="B41" s="306"/>
      <c r="C41" s="306"/>
      <c r="D41" s="560" t="s">
        <v>982</v>
      </c>
      <c r="E41" s="561"/>
      <c r="F41" s="562"/>
      <c r="H41" s="279">
        <f>'INPUT2 - Veh Sub-Syst Mass'!D284</f>
        <v>1927.2929999999999</v>
      </c>
      <c r="I41" s="280">
        <f>'INPUT2 - Veh Sub-Syst Mass'!F284</f>
        <v>992.69498021632671</v>
      </c>
      <c r="J41" s="281">
        <f>'INPUT2 - Veh Sub-Syst Mass'!H284</f>
        <v>934.59801978367318</v>
      </c>
      <c r="K41" s="310"/>
      <c r="L41" s="282">
        <f>'INPUT2 - Veh Sub-Syst Mass'!O284</f>
        <v>1237.7094815001649</v>
      </c>
      <c r="M41" s="283">
        <f>'INPUT2 - Veh Sub-Syst Mass'!Q284</f>
        <v>-16.301007613614885</v>
      </c>
      <c r="N41" s="310"/>
      <c r="O41" s="284">
        <f>'INPUT2 - Veh Sub-Syst Mass'!S284</f>
        <v>293.25466200520628</v>
      </c>
      <c r="P41" s="310"/>
      <c r="Q41" s="284">
        <f>'INPUT2 - Veh Sub-Syst Mass'!U284</f>
        <v>294.72337537675912</v>
      </c>
      <c r="R41" s="310"/>
      <c r="S41" s="284">
        <f>Q41-H45+((L41-'INPUT1 - Veh Geometry'!H61)/'INPUT1 - Veh Geometry'!H33)*(H45-I45)</f>
        <v>545.69061252581025</v>
      </c>
      <c r="T41" s="307"/>
      <c r="U41" s="307"/>
    </row>
    <row r="42" spans="2:21" ht="7.15" customHeight="1" thickBot="1">
      <c r="B42" s="306"/>
      <c r="C42" s="306"/>
      <c r="T42" s="307"/>
      <c r="U42" s="307"/>
    </row>
    <row r="43" spans="2:21" ht="18.399999999999999" customHeight="1" thickBot="1">
      <c r="B43" s="306"/>
      <c r="C43" s="306"/>
      <c r="H43" s="256" t="s">
        <v>983</v>
      </c>
      <c r="I43" s="278">
        <f>I41/H41</f>
        <v>0.51507216609842243</v>
      </c>
      <c r="T43" s="307"/>
      <c r="U43" s="307"/>
    </row>
    <row r="44" spans="2:21" ht="12.4" customHeight="1" thickBot="1">
      <c r="B44" s="306"/>
      <c r="C44" s="306"/>
      <c r="T44" s="307"/>
      <c r="U44" s="307"/>
    </row>
    <row r="45" spans="2:21" ht="18.399999999999999" customHeight="1" thickBot="1">
      <c r="B45" s="306"/>
      <c r="C45" s="306"/>
      <c r="D45" s="588" t="s">
        <v>993</v>
      </c>
      <c r="E45" s="589"/>
      <c r="F45" s="590"/>
      <c r="H45" s="297">
        <f>'INPUT1 - Veh Geometry'!J64</f>
        <v>-266</v>
      </c>
      <c r="I45" s="298">
        <f>'INPUT1 - Veh Geometry'!J75</f>
        <v>-235</v>
      </c>
      <c r="T45" s="307"/>
      <c r="U45" s="307"/>
    </row>
    <row r="46" spans="2:21">
      <c r="B46" s="306"/>
      <c r="C46" s="312"/>
      <c r="D46" s="235"/>
      <c r="E46" s="235"/>
      <c r="F46" s="235"/>
      <c r="G46" s="235"/>
      <c r="H46" s="235"/>
      <c r="I46" s="235"/>
      <c r="J46" s="235"/>
      <c r="K46" s="235"/>
      <c r="L46" s="235"/>
      <c r="M46" s="235"/>
      <c r="N46" s="235"/>
      <c r="O46" s="235"/>
      <c r="P46" s="235"/>
      <c r="Q46" s="235"/>
      <c r="R46" s="235"/>
      <c r="S46" s="235"/>
      <c r="T46" s="313"/>
      <c r="U46" s="307"/>
    </row>
    <row r="47" spans="2:21">
      <c r="B47" s="306"/>
      <c r="U47" s="307"/>
    </row>
    <row r="48" spans="2:21">
      <c r="B48" s="306"/>
      <c r="U48" s="307"/>
    </row>
    <row r="49" spans="2:21" ht="21">
      <c r="B49" s="306"/>
      <c r="C49" s="566" t="s">
        <v>994</v>
      </c>
      <c r="D49" s="567"/>
      <c r="E49" s="567"/>
      <c r="F49" s="567"/>
      <c r="G49" s="567"/>
      <c r="H49" s="567"/>
      <c r="I49" s="567"/>
      <c r="J49" s="567"/>
      <c r="K49" s="567"/>
      <c r="L49" s="567"/>
      <c r="M49" s="567"/>
      <c r="N49" s="567"/>
      <c r="O49" s="567"/>
      <c r="P49" s="567"/>
      <c r="Q49" s="567"/>
      <c r="R49" s="567"/>
      <c r="S49" s="567"/>
      <c r="T49" s="568"/>
      <c r="U49" s="307"/>
    </row>
    <row r="50" spans="2:21" ht="14.45" thickBot="1">
      <c r="B50" s="306"/>
      <c r="C50" s="306"/>
      <c r="H50" s="308"/>
      <c r="I50" s="308"/>
      <c r="J50" s="308"/>
      <c r="L50" s="309"/>
      <c r="T50" s="307"/>
      <c r="U50" s="307"/>
    </row>
    <row r="51" spans="2:21" ht="14.45" thickBot="1">
      <c r="B51" s="306"/>
      <c r="C51" s="306"/>
      <c r="H51" s="563" t="s">
        <v>969</v>
      </c>
      <c r="I51" s="564"/>
      <c r="J51" s="565"/>
      <c r="L51" s="563" t="s">
        <v>970</v>
      </c>
      <c r="M51" s="564"/>
      <c r="N51" s="564"/>
      <c r="O51" s="564"/>
      <c r="P51" s="564"/>
      <c r="Q51" s="564"/>
      <c r="R51" s="564"/>
      <c r="S51" s="581"/>
      <c r="T51" s="307"/>
      <c r="U51" s="307"/>
    </row>
    <row r="52" spans="2:21" ht="27.6">
      <c r="B52" s="306"/>
      <c r="C52" s="306"/>
      <c r="O52" s="259" t="s">
        <v>971</v>
      </c>
      <c r="Q52" s="578" t="s">
        <v>972</v>
      </c>
      <c r="R52" s="579"/>
      <c r="S52" s="580"/>
      <c r="T52" s="307"/>
      <c r="U52" s="307"/>
    </row>
    <row r="53" spans="2:21" ht="19.149999999999999" customHeight="1" thickBot="1">
      <c r="B53" s="306"/>
      <c r="C53" s="306"/>
      <c r="D53" s="309" t="s">
        <v>995</v>
      </c>
      <c r="E53" s="309"/>
      <c r="H53" s="229" t="s">
        <v>974</v>
      </c>
      <c r="I53" s="229" t="s">
        <v>674</v>
      </c>
      <c r="J53" s="229" t="s">
        <v>678</v>
      </c>
      <c r="L53" s="229" t="s">
        <v>975</v>
      </c>
      <c r="M53" s="229" t="s">
        <v>154</v>
      </c>
      <c r="O53" s="229" t="s">
        <v>976</v>
      </c>
      <c r="Q53" s="257" t="s">
        <v>976</v>
      </c>
      <c r="S53" s="229" t="s">
        <v>977</v>
      </c>
      <c r="T53" s="307"/>
      <c r="U53" s="307"/>
    </row>
    <row r="54" spans="2:21" ht="19.149999999999999" customHeight="1" thickBot="1">
      <c r="B54" s="306"/>
      <c r="C54" s="306"/>
      <c r="D54" s="560" t="s">
        <v>996</v>
      </c>
      <c r="E54" s="561"/>
      <c r="F54" s="562"/>
      <c r="H54" s="331">
        <f>H17</f>
        <v>1456.289</v>
      </c>
      <c r="I54" s="332">
        <f t="shared" ref="I54:Q54" si="9">I17</f>
        <v>882.05611900252507</v>
      </c>
      <c r="J54" s="333">
        <f t="shared" si="9"/>
        <v>574.23288099747469</v>
      </c>
      <c r="L54" s="334">
        <f t="shared" si="9"/>
        <v>998.48486346688958</v>
      </c>
      <c r="M54" s="335">
        <f t="shared" si="9"/>
        <v>-21.573202754856126</v>
      </c>
      <c r="O54" s="336">
        <f t="shared" si="9"/>
        <v>261.01732369055867</v>
      </c>
      <c r="Q54" s="336">
        <f t="shared" si="9"/>
        <v>256.80368821023848</v>
      </c>
      <c r="T54" s="307"/>
      <c r="U54" s="307"/>
    </row>
    <row r="55" spans="2:21" ht="19.149999999999999" customHeight="1">
      <c r="B55" s="306"/>
      <c r="C55" s="306"/>
      <c r="D55" s="582" t="s">
        <v>997</v>
      </c>
      <c r="E55" s="583"/>
      <c r="F55" s="584"/>
      <c r="H55" s="319">
        <f>'INPUT1 - Veh Geometry'!G15</f>
        <v>75</v>
      </c>
      <c r="I55" s="320">
        <f>H55-J55</f>
        <v>35.894886363636367</v>
      </c>
      <c r="J55" s="321">
        <f>H55*(L55-'INPUT1 - Veh Geometry'!$H$61)/'INPUT1 - Veh Geometry'!$H$33</f>
        <v>39.105113636363633</v>
      </c>
      <c r="L55" s="322">
        <f>'INPUT1 - Veh Geometry'!H42</f>
        <v>1334</v>
      </c>
      <c r="M55" s="323">
        <f>'INPUT1 - Veh Geometry'!I42</f>
        <v>-355</v>
      </c>
      <c r="O55" s="324">
        <f>'INPUT1 - Veh Geometry'!J42</f>
        <v>390.3</v>
      </c>
      <c r="Q55" s="324">
        <f>O55</f>
        <v>390.3</v>
      </c>
      <c r="T55" s="307"/>
      <c r="U55" s="307"/>
    </row>
    <row r="56" spans="2:21" ht="19.149999999999999" customHeight="1" thickBot="1">
      <c r="B56" s="306"/>
      <c r="C56" s="306"/>
      <c r="D56" s="585" t="s">
        <v>998</v>
      </c>
      <c r="E56" s="586"/>
      <c r="F56" s="587"/>
      <c r="H56" s="325">
        <f>-('INPUT2 - Veh Sub-Syst Mass'!L28-5*0.75)</f>
        <v>3.75</v>
      </c>
      <c r="I56" s="326">
        <f>H56-J56</f>
        <v>0.90553977272727293</v>
      </c>
      <c r="J56" s="327">
        <f>H56*(L56-'INPUT1 - Veh Geometry'!$H$61)/'INPUT1 - Veh Geometry'!$H$33</f>
        <v>2.8444602272727271</v>
      </c>
      <c r="L56" s="328">
        <f>'INPUT1 - Veh Geometry'!H56</f>
        <v>1960</v>
      </c>
      <c r="M56" s="329">
        <f>'INPUT1 - Veh Geometry'!I56</f>
        <v>38</v>
      </c>
      <c r="O56" s="330">
        <f>'INPUT1 - Veh Geometry'!J56</f>
        <v>33</v>
      </c>
      <c r="Q56" s="330">
        <f>O56</f>
        <v>33</v>
      </c>
      <c r="T56" s="307"/>
      <c r="U56" s="307"/>
    </row>
    <row r="57" spans="2:21" ht="14.45" thickBot="1">
      <c r="B57" s="306"/>
      <c r="C57" s="306"/>
      <c r="T57" s="307"/>
      <c r="U57" s="307"/>
    </row>
    <row r="58" spans="2:21" ht="19.149999999999999" customHeight="1" thickBot="1">
      <c r="B58" s="306"/>
      <c r="C58" s="306"/>
      <c r="D58" s="560" t="s">
        <v>999</v>
      </c>
      <c r="E58" s="561"/>
      <c r="F58" s="562"/>
      <c r="H58" s="279">
        <f>H54+H55+H56</f>
        <v>1535.039</v>
      </c>
      <c r="I58" s="280">
        <f>I54+I55+I56</f>
        <v>918.85654513888869</v>
      </c>
      <c r="J58" s="281">
        <f>J54+J55+J56</f>
        <v>616.18245486111107</v>
      </c>
      <c r="K58" s="310"/>
      <c r="L58" s="282">
        <f>($H54*L54+$H55*L55+$H56*L56)/$H58</f>
        <v>1017.2266133520602</v>
      </c>
      <c r="M58" s="283">
        <f>($H54*M54+$H55*M55+$H56*M56)/$H58</f>
        <v>-37.718467000946994</v>
      </c>
      <c r="N58" s="310"/>
      <c r="O58" s="284">
        <f>($H54*O54+$H55*O55+$H56*O56)/$H58</f>
        <v>266.77687491979032</v>
      </c>
      <c r="P58" s="310"/>
      <c r="Q58" s="284">
        <f>($H54*Q54+$H55*Q55+$H56*Q56)/$H58</f>
        <v>262.77940580011318</v>
      </c>
      <c r="R58" s="310"/>
      <c r="S58" s="284"/>
      <c r="T58" s="307"/>
      <c r="U58" s="307"/>
    </row>
    <row r="59" spans="2:21" ht="14.45" thickBot="1">
      <c r="B59" s="306"/>
      <c r="C59" s="306"/>
      <c r="T59" s="307"/>
      <c r="U59" s="307"/>
    </row>
    <row r="60" spans="2:21" ht="14.45" thickBot="1">
      <c r="B60" s="306"/>
      <c r="C60" s="306"/>
      <c r="H60" s="256" t="s">
        <v>983</v>
      </c>
      <c r="I60" s="278">
        <f>I58/H58</f>
        <v>0.59858840403331037</v>
      </c>
      <c r="T60" s="307"/>
      <c r="U60" s="307"/>
    </row>
    <row r="61" spans="2:21">
      <c r="B61" s="306"/>
      <c r="C61" s="312"/>
      <c r="D61" s="235"/>
      <c r="E61" s="235"/>
      <c r="F61" s="235"/>
      <c r="G61" s="235"/>
      <c r="H61" s="235"/>
      <c r="I61" s="235"/>
      <c r="J61" s="235"/>
      <c r="K61" s="235"/>
      <c r="L61" s="235"/>
      <c r="M61" s="235"/>
      <c r="N61" s="235"/>
      <c r="O61" s="235"/>
      <c r="P61" s="235"/>
      <c r="Q61" s="235"/>
      <c r="R61" s="235"/>
      <c r="S61" s="235"/>
      <c r="T61" s="313"/>
      <c r="U61" s="307"/>
    </row>
    <row r="62" spans="2:21">
      <c r="B62" s="306"/>
      <c r="U62" s="307"/>
    </row>
    <row r="63" spans="2:21">
      <c r="B63" s="312"/>
      <c r="C63" s="235"/>
      <c r="D63" s="235"/>
      <c r="E63" s="235"/>
      <c r="F63" s="235"/>
      <c r="G63" s="235"/>
      <c r="H63" s="235"/>
      <c r="I63" s="235"/>
      <c r="J63" s="235"/>
      <c r="K63" s="235"/>
      <c r="L63" s="235"/>
      <c r="M63" s="235"/>
      <c r="N63" s="235"/>
      <c r="O63" s="235"/>
      <c r="P63" s="235"/>
      <c r="Q63" s="235"/>
      <c r="R63" s="235"/>
      <c r="S63" s="235"/>
      <c r="T63" s="235"/>
      <c r="U63" s="313"/>
    </row>
    <row r="67" spans="2:21" s="302" customFormat="1" ht="21">
      <c r="B67" s="303" t="s">
        <v>1000</v>
      </c>
      <c r="C67" s="304"/>
      <c r="D67" s="304"/>
      <c r="E67" s="304"/>
      <c r="F67" s="304"/>
      <c r="G67" s="304"/>
      <c r="H67" s="304"/>
      <c r="I67" s="304"/>
      <c r="J67" s="304"/>
      <c r="K67" s="304"/>
      <c r="L67" s="304"/>
      <c r="M67" s="304"/>
      <c r="N67" s="304"/>
      <c r="O67" s="304"/>
      <c r="P67" s="304"/>
      <c r="Q67" s="304"/>
      <c r="R67" s="304"/>
      <c r="S67" s="304"/>
      <c r="T67" s="317"/>
      <c r="U67" s="318"/>
    </row>
    <row r="68" spans="2:21">
      <c r="B68" s="306"/>
      <c r="U68" s="307"/>
    </row>
    <row r="69" spans="2:21">
      <c r="B69" s="306"/>
      <c r="D69" s="593" t="s">
        <v>1001</v>
      </c>
      <c r="E69" s="593"/>
      <c r="F69" s="593"/>
      <c r="H69" s="338" t="s">
        <v>334</v>
      </c>
      <c r="I69" s="340">
        <f>SUMIF('INPUT2 - Veh Sub-Syst Mass'!$Z$6:$Z$252,"SOEE",'INPUT2 - Veh Sub-Syst Mass'!$Y$6:$Y$252)</f>
        <v>220.36199999999999</v>
      </c>
      <c r="U69" s="307"/>
    </row>
    <row r="70" spans="2:21">
      <c r="B70" s="306"/>
      <c r="D70" s="593"/>
      <c r="E70" s="593"/>
      <c r="F70" s="593"/>
      <c r="H70" s="338" t="s">
        <v>441</v>
      </c>
      <c r="I70" s="340">
        <f>SUMIF('INPUT2 - Veh Sub-Syst Mass'!$Z$6:$Z$252,"SCEG",'INPUT2 - Veh Sub-Syst Mass'!$Y$6:$Y$252)</f>
        <v>398.50099999999992</v>
      </c>
      <c r="U70" s="307"/>
    </row>
    <row r="71" spans="2:21">
      <c r="B71" s="306"/>
      <c r="D71" s="593"/>
      <c r="E71" s="593"/>
      <c r="F71" s="593"/>
      <c r="H71" s="338" t="s">
        <v>1002</v>
      </c>
      <c r="I71" s="340">
        <f>SUMIF('INPUT2 - Veh Sub-Syst Mass'!$Z$6:$Z$252,"SCEG-sil",'INPUT2 - Veh Sub-Syst Mass'!$Y$6:$Y$252)</f>
        <v>0</v>
      </c>
      <c r="U71" s="307"/>
    </row>
    <row r="72" spans="2:21">
      <c r="B72" s="306"/>
      <c r="D72" s="593"/>
      <c r="E72" s="593"/>
      <c r="F72" s="593"/>
      <c r="H72" s="338" t="s">
        <v>345</v>
      </c>
      <c r="I72" s="340">
        <f>SUMIF('INPUT2 - Veh Sub-Syst Mass'!$Z$6:$Z$252,"SPCS",'INPUT2 - Veh Sub-Syst Mass'!$Y$6:$Y$252)</f>
        <v>105.8</v>
      </c>
      <c r="U72" s="307"/>
    </row>
    <row r="73" spans="2:21">
      <c r="B73" s="306"/>
      <c r="D73" s="593"/>
      <c r="E73" s="593"/>
      <c r="F73" s="593"/>
      <c r="H73" s="338" t="s">
        <v>1003</v>
      </c>
      <c r="I73" s="340">
        <f>SUMIF('INPUT2 - Veh Sub-Syst Mass'!$Z$6:$Z$252,"ICDV-roue",'INPUT2 - Veh Sub-Syst Mass'!$Y$6:$Y$252)</f>
        <v>88.6</v>
      </c>
      <c r="U73" s="307"/>
    </row>
    <row r="74" spans="2:21">
      <c r="B74" s="306"/>
      <c r="D74" s="593"/>
      <c r="E74" s="593"/>
      <c r="F74" s="593"/>
      <c r="H74" s="338" t="s">
        <v>365</v>
      </c>
      <c r="I74" s="340">
        <f>SUMIF('INPUT2 - Veh Sub-Syst Mass'!$Z$6:$Z$252,"DSEE-sil",'INPUT2 - Veh Sub-Syst Mass'!$Y$6:$Y$252)</f>
        <v>0</v>
      </c>
      <c r="U74" s="307"/>
    </row>
    <row r="75" spans="2:21">
      <c r="B75" s="306"/>
      <c r="D75" s="593"/>
      <c r="E75" s="593"/>
      <c r="F75" s="593"/>
      <c r="H75" s="338" t="s">
        <v>261</v>
      </c>
      <c r="I75" s="340">
        <f>SUMIF('INPUT2 - Veh Sub-Syst Mass'!$Z$6:$Z$252,"DSEE",'INPUT2 - Veh Sub-Syst Mass'!$Y$6:$Y$252)</f>
        <v>54.599999999999994</v>
      </c>
      <c r="U75" s="307"/>
    </row>
    <row r="76" spans="2:21">
      <c r="B76" s="306"/>
      <c r="D76" s="593"/>
      <c r="E76" s="593"/>
      <c r="F76" s="593"/>
      <c r="H76" s="339" t="s">
        <v>1004</v>
      </c>
      <c r="I76" s="341">
        <f>SUM(I69:I75)</f>
        <v>867.86299999999994</v>
      </c>
      <c r="U76" s="307"/>
    </row>
    <row r="77" spans="2:21">
      <c r="B77" s="306"/>
      <c r="U77" s="307"/>
    </row>
    <row r="78" spans="2:21">
      <c r="B78" s="306"/>
      <c r="D78" s="593" t="s">
        <v>56</v>
      </c>
      <c r="E78" s="593"/>
      <c r="F78" s="593"/>
      <c r="H78" s="338" t="s">
        <v>1005</v>
      </c>
      <c r="I78" s="340">
        <f>SUMIF('INPUT2 - Veh Sub-Syst Mass'!$Z$6:$Z$252,"SCEG-base",'INPUT2 - Veh Sub-Syst Mass'!$Y$6:$Y$252)</f>
        <v>0</v>
      </c>
      <c r="U78" s="307"/>
    </row>
    <row r="79" spans="2:21">
      <c r="B79" s="306"/>
      <c r="D79" s="593"/>
      <c r="E79" s="593"/>
      <c r="F79" s="593"/>
      <c r="H79" s="338" t="s">
        <v>368</v>
      </c>
      <c r="I79" s="340">
        <f>SUMIF('INPUT2 - Veh Sub-Syst Mass'!$Z$6:$Z$252,"DCTC",'INPUT2 - Veh Sub-Syst Mass'!$Y$6:$Y$252)</f>
        <v>251.9</v>
      </c>
      <c r="U79" s="307"/>
    </row>
    <row r="80" spans="2:21">
      <c r="B80" s="306"/>
      <c r="D80" s="593"/>
      <c r="E80" s="593"/>
      <c r="F80" s="593"/>
      <c r="H80" s="338" t="s">
        <v>470</v>
      </c>
      <c r="I80" s="340">
        <f>SUMIF('INPUT2 - Veh Sub-Syst Mass'!$Z$6:$Z$252,"ICDV",'INPUT2 - Veh Sub-Syst Mass'!$Y$6:$Y$252)</f>
        <v>194.52599999999998</v>
      </c>
      <c r="U80" s="307"/>
    </row>
    <row r="81" spans="2:21">
      <c r="B81" s="306"/>
      <c r="D81" s="593"/>
      <c r="E81" s="593"/>
      <c r="F81" s="593"/>
      <c r="H81" s="338" t="s">
        <v>280</v>
      </c>
      <c r="I81" s="340">
        <f>SUMIF('INPUT2 - Veh Sub-Syst Mass'!$Z$6:$Z$252,"ADTH",'INPUT2 - Veh Sub-Syst Mass'!$Y$6:$Y$252)</f>
        <v>30.4</v>
      </c>
      <c r="U81" s="307"/>
    </row>
    <row r="82" spans="2:21">
      <c r="B82" s="306"/>
      <c r="D82" s="593"/>
      <c r="E82" s="593"/>
      <c r="F82" s="593"/>
      <c r="H82" s="338" t="s">
        <v>223</v>
      </c>
      <c r="I82" s="340">
        <f>SUMIF('INPUT2 - Veh Sub-Syst Mass'!$Z$6:$Z$252,"CMAG",'INPUT2 - Veh Sub-Syst Mass'!$Y$6:$Y$252)</f>
        <v>111.60000000000001</v>
      </c>
      <c r="U82" s="307"/>
    </row>
    <row r="83" spans="2:21">
      <c r="B83" s="306"/>
      <c r="D83" s="593"/>
      <c r="E83" s="593"/>
      <c r="F83" s="593"/>
      <c r="H83" s="338" t="s">
        <v>384</v>
      </c>
      <c r="I83" s="340">
        <f>SUMIF('INPUT2 - Veh Sub-Syst Mass'!$Z$6:$Z$252,"DSEE-Batt",'INPUT2 - Veh Sub-Syst Mass'!$Y$6:$Y$252)</f>
        <v>0</v>
      </c>
      <c r="U83" s="307"/>
    </row>
    <row r="84" spans="2:21">
      <c r="B84" s="306"/>
      <c r="D84" s="593"/>
      <c r="E84" s="593"/>
      <c r="F84" s="593"/>
      <c r="H84" s="338" t="s">
        <v>380</v>
      </c>
      <c r="I84" s="340">
        <f>SUMIF('INPUT2 - Veh Sub-Syst Mass'!$Z$6:$Z$252,"SCEG-Batt",'INPUT2 - Veh Sub-Syst Mass'!$Y$6:$Y$252)</f>
        <v>0</v>
      </c>
      <c r="U84" s="307"/>
    </row>
    <row r="85" spans="2:21">
      <c r="B85" s="306"/>
      <c r="D85" s="593"/>
      <c r="E85" s="593"/>
      <c r="F85" s="593"/>
      <c r="H85" s="338"/>
      <c r="I85" s="340"/>
      <c r="U85" s="307"/>
    </row>
    <row r="86" spans="2:21">
      <c r="B86" s="306"/>
      <c r="D86" s="593"/>
      <c r="E86" s="593"/>
      <c r="F86" s="593"/>
      <c r="H86" s="339" t="s">
        <v>1004</v>
      </c>
      <c r="I86" s="341">
        <f>SUM(I78:I85)</f>
        <v>588.42599999999993</v>
      </c>
      <c r="U86" s="307"/>
    </row>
    <row r="87" spans="2:21">
      <c r="B87" s="306"/>
      <c r="U87" s="307"/>
    </row>
    <row r="88" spans="2:21">
      <c r="B88" s="306"/>
      <c r="H88" s="338" t="s">
        <v>1006</v>
      </c>
      <c r="I88" s="340">
        <f>SUMIF('INPUT2 - Veh Sub-Syst Mass'!$Z$6:$Z$252,"???",'INPUT2 - Veh Sub-Syst Mass'!$Y$6:$Y$252)+SUMIF('INPUT2 - Veh Sub-Syst Mass'!$Z$6:$Z$252,"",'INPUT2 - Veh Sub-Syst Mass'!$Y$6:$Y$252)</f>
        <v>0</v>
      </c>
      <c r="U88" s="307"/>
    </row>
    <row r="89" spans="2:21">
      <c r="B89" s="306"/>
      <c r="H89" s="339" t="s">
        <v>40</v>
      </c>
      <c r="I89" s="341">
        <f>I76+I86+I88</f>
        <v>1456.2889999999998</v>
      </c>
      <c r="U89" s="307"/>
    </row>
    <row r="90" spans="2:21">
      <c r="B90" s="312"/>
      <c r="C90" s="235"/>
      <c r="D90" s="235"/>
      <c r="E90" s="235"/>
      <c r="F90" s="235"/>
      <c r="G90" s="235"/>
      <c r="H90" s="235"/>
      <c r="I90" s="235"/>
      <c r="J90" s="235"/>
      <c r="K90" s="235"/>
      <c r="L90" s="235"/>
      <c r="M90" s="235"/>
      <c r="N90" s="235"/>
      <c r="O90" s="235"/>
      <c r="P90" s="235"/>
      <c r="Q90" s="235"/>
      <c r="R90" s="235"/>
      <c r="S90" s="235"/>
      <c r="T90" s="235"/>
      <c r="U90" s="313"/>
    </row>
    <row r="94" spans="2:21" s="258" customFormat="1" ht="21">
      <c r="B94" s="316" t="s">
        <v>1007</v>
      </c>
      <c r="C94" s="314"/>
      <c r="D94" s="314"/>
      <c r="E94" s="314"/>
      <c r="F94" s="314"/>
      <c r="G94" s="314"/>
      <c r="H94" s="314"/>
      <c r="I94" s="314"/>
      <c r="J94" s="314"/>
      <c r="K94" s="314"/>
      <c r="L94" s="314"/>
      <c r="M94" s="314"/>
      <c r="N94" s="314"/>
      <c r="O94" s="314"/>
      <c r="P94" s="314"/>
      <c r="Q94" s="314"/>
      <c r="R94" s="314"/>
      <c r="S94" s="314"/>
      <c r="T94" s="314"/>
      <c r="U94" s="315"/>
    </row>
    <row r="95" spans="2:21">
      <c r="B95" s="306"/>
      <c r="U95" s="307"/>
    </row>
    <row r="96" spans="2:21">
      <c r="B96" s="306"/>
      <c r="D96" s="299" t="s">
        <v>1008</v>
      </c>
      <c r="E96" s="300"/>
      <c r="F96" s="301"/>
      <c r="U96" s="307"/>
    </row>
    <row r="97" spans="2:21">
      <c r="B97" s="306"/>
      <c r="D97" s="591" t="s">
        <v>1009</v>
      </c>
      <c r="E97" s="592"/>
      <c r="F97" s="236">
        <f>'INPUT1 - Veh Geometry'!G13</f>
        <v>56.003999999999998</v>
      </c>
      <c r="U97" s="307"/>
    </row>
    <row r="98" spans="2:21">
      <c r="B98" s="306"/>
      <c r="D98" s="591" t="s">
        <v>1010</v>
      </c>
      <c r="E98" s="592"/>
      <c r="F98" s="237">
        <f>'INPUT1 - Veh Geometry'!G14</f>
        <v>5</v>
      </c>
      <c r="U98" s="307"/>
    </row>
    <row r="99" spans="2:21">
      <c r="B99" s="306"/>
      <c r="D99" s="591" t="s">
        <v>1011</v>
      </c>
      <c r="E99" s="592"/>
      <c r="F99" s="236">
        <f>'INPUT1 - Veh Geometry'!G21</f>
        <v>40</v>
      </c>
      <c r="U99" s="307"/>
    </row>
    <row r="100" spans="2:21">
      <c r="B100" s="306"/>
      <c r="D100" s="591" t="str">
        <f>'INPUT1 - Veh Geometry'!C61</f>
        <v xml:space="preserve">   - CdR Av Réf / FWC (ref)</v>
      </c>
      <c r="E100" s="592"/>
      <c r="F100" s="238">
        <f>'INPUT1 - Veh Geometry'!J61</f>
        <v>67</v>
      </c>
      <c r="U100" s="307"/>
    </row>
    <row r="101" spans="2:21">
      <c r="B101" s="306"/>
      <c r="D101" s="591" t="str">
        <f>'INPUT1 - Veh Geometry'!C72</f>
        <v xml:space="preserve">   - CdR Ar Réf / RWC (ref)</v>
      </c>
      <c r="E101" s="592"/>
      <c r="F101" s="238">
        <f>'INPUT1 - Veh Geometry'!J72</f>
        <v>76</v>
      </c>
      <c r="U101" s="307"/>
    </row>
    <row r="102" spans="2:21">
      <c r="B102" s="306"/>
      <c r="D102" s="591"/>
      <c r="E102" s="592"/>
      <c r="F102" s="236"/>
      <c r="U102" s="307"/>
    </row>
    <row r="103" spans="2:21">
      <c r="B103" s="306"/>
      <c r="D103" s="591"/>
      <c r="E103" s="592"/>
      <c r="F103" s="236"/>
      <c r="U103" s="307"/>
    </row>
    <row r="104" spans="2:21">
      <c r="B104" s="306"/>
      <c r="D104" s="591"/>
      <c r="E104" s="592"/>
      <c r="F104" s="236"/>
      <c r="U104" s="307"/>
    </row>
    <row r="105" spans="2:21">
      <c r="B105" s="306"/>
      <c r="D105" s="591"/>
      <c r="E105" s="592"/>
      <c r="F105" s="236"/>
      <c r="U105" s="307"/>
    </row>
    <row r="106" spans="2:21">
      <c r="B106" s="306"/>
      <c r="U106" s="307"/>
    </row>
    <row r="107" spans="2:21" ht="14.45">
      <c r="B107" s="306"/>
      <c r="D107" t="s">
        <v>876</v>
      </c>
      <c r="E107" t="s">
        <v>876</v>
      </c>
      <c r="U107" s="307"/>
    </row>
    <row r="108" spans="2:21" ht="14.45">
      <c r="B108" s="306"/>
      <c r="D108"/>
      <c r="E108"/>
      <c r="U108" s="307"/>
    </row>
    <row r="109" spans="2:21" ht="14.45">
      <c r="B109" s="306"/>
      <c r="D109" s="212" t="s">
        <v>877</v>
      </c>
      <c r="E109" s="212" t="s">
        <v>877</v>
      </c>
      <c r="U109" s="307"/>
    </row>
    <row r="110" spans="2:21">
      <c r="B110" s="306"/>
      <c r="U110" s="307"/>
    </row>
    <row r="111" spans="2:21" ht="16.899999999999999" customHeight="1" outlineLevel="1">
      <c r="B111" s="306"/>
      <c r="U111" s="307"/>
    </row>
    <row r="112" spans="2:21">
      <c r="B112" s="312"/>
      <c r="C112" s="235"/>
      <c r="D112" s="235"/>
      <c r="E112" s="235"/>
      <c r="F112" s="235"/>
      <c r="G112" s="235"/>
      <c r="H112" s="235"/>
      <c r="I112" s="235"/>
      <c r="J112" s="235"/>
      <c r="K112" s="235"/>
      <c r="L112" s="235"/>
      <c r="M112" s="235"/>
      <c r="N112" s="235"/>
      <c r="O112" s="235"/>
      <c r="P112" s="235"/>
      <c r="Q112" s="235"/>
      <c r="R112" s="235"/>
      <c r="S112" s="235"/>
      <c r="T112" s="235"/>
      <c r="U112" s="313"/>
    </row>
    <row r="113" outlineLevel="1"/>
    <row r="114" outlineLevel="1"/>
    <row r="115" outlineLevel="1"/>
    <row r="116" outlineLevel="1"/>
    <row r="117" outlineLevel="1"/>
    <row r="118" outlineLevel="1"/>
    <row r="119" outlineLevel="1"/>
    <row r="122" ht="16.899999999999999" customHeight="1" outlineLevel="1"/>
    <row r="124" outlineLevel="1"/>
    <row r="125" outlineLevel="1"/>
    <row r="126" outlineLevel="1"/>
    <row r="128" outlineLevel="1"/>
    <row r="129" outlineLevel="1"/>
    <row r="130" outlineLevel="1"/>
  </sheetData>
  <mergeCells count="38">
    <mergeCell ref="L2:M2"/>
    <mergeCell ref="D102:E102"/>
    <mergeCell ref="D103:E103"/>
    <mergeCell ref="D104:E104"/>
    <mergeCell ref="D105:E105"/>
    <mergeCell ref="D97:E97"/>
    <mergeCell ref="D98:E98"/>
    <mergeCell ref="D99:E99"/>
    <mergeCell ref="D100:E100"/>
    <mergeCell ref="D101:E101"/>
    <mergeCell ref="D69:F76"/>
    <mergeCell ref="D78:F86"/>
    <mergeCell ref="D13:E15"/>
    <mergeCell ref="D37:E39"/>
    <mergeCell ref="D35:F35"/>
    <mergeCell ref="D41:F41"/>
    <mergeCell ref="Q33:S33"/>
    <mergeCell ref="C49:T49"/>
    <mergeCell ref="H51:J51"/>
    <mergeCell ref="L51:S51"/>
    <mergeCell ref="Q52:S52"/>
    <mergeCell ref="D45:F45"/>
    <mergeCell ref="D58:F58"/>
    <mergeCell ref="H8:J8"/>
    <mergeCell ref="C6:T6"/>
    <mergeCell ref="C30:T30"/>
    <mergeCell ref="D11:F11"/>
    <mergeCell ref="D17:F17"/>
    <mergeCell ref="D24:F24"/>
    <mergeCell ref="D25:F25"/>
    <mergeCell ref="D26:F26"/>
    <mergeCell ref="Q9:S9"/>
    <mergeCell ref="L8:S8"/>
    <mergeCell ref="D54:F54"/>
    <mergeCell ref="D55:F55"/>
    <mergeCell ref="D56:F56"/>
    <mergeCell ref="H32:J32"/>
    <mergeCell ref="L32:S32"/>
  </mergeCells>
  <conditionalFormatting sqref="H11:J11 H17:J17 H41:J41 H58:J58">
    <cfRule type="expression" dxfId="27" priority="11" stopIfTrue="1">
      <formula>IF($H11&lt;&gt;$I11+$J11,1,0)</formula>
    </cfRule>
  </conditionalFormatting>
  <conditionalFormatting sqref="H13:J15">
    <cfRule type="expression" dxfId="26" priority="4" stopIfTrue="1">
      <formula>IF($H13&lt;&gt;$I13+$J13,1,0)</formula>
    </cfRule>
  </conditionalFormatting>
  <conditionalFormatting sqref="H35:J35">
    <cfRule type="expression" dxfId="25" priority="5" stopIfTrue="1">
      <formula>IF($H35&lt;&gt;$I35+$J35,1,0)</formula>
    </cfRule>
  </conditionalFormatting>
  <conditionalFormatting sqref="H37:J39">
    <cfRule type="expression" dxfId="24" priority="3" stopIfTrue="1">
      <formula>IF($H37&lt;&gt;$I37+$J37,1,0)</formula>
    </cfRule>
  </conditionalFormatting>
  <conditionalFormatting sqref="H54:J56">
    <cfRule type="expression" dxfId="23" priority="2" stopIfTrue="1">
      <formula>IF($H54&lt;&gt;$I54+$J54,1,0)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F1435-E278-4EEA-AF36-BD81BEFF7EE5}">
  <dimension ref="A1"/>
  <sheetViews>
    <sheetView workbookViewId="0">
      <selection activeCell="K33" sqref="K33"/>
    </sheetView>
  </sheetViews>
  <sheetFormatPr defaultColWidth="11.42578125" defaultRowHeight="14.45"/>
  <sheetData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B63EE-839F-4590-B279-CF45E85AF984}">
  <sheetPr>
    <tabColor rgb="FFFFFF00"/>
  </sheetPr>
  <dimension ref="A2:G946"/>
  <sheetViews>
    <sheetView showGridLines="0" workbookViewId="0">
      <selection activeCell="B32" sqref="B32"/>
    </sheetView>
  </sheetViews>
  <sheetFormatPr defaultColWidth="11.42578125" defaultRowHeight="14.45"/>
  <cols>
    <col min="2" max="2" width="50.85546875" customWidth="1"/>
    <col min="6" max="7" width="24.7109375" customWidth="1"/>
  </cols>
  <sheetData>
    <row r="2" spans="1:7" ht="23.45">
      <c r="A2" s="600" t="s">
        <v>1012</v>
      </c>
      <c r="B2" s="600"/>
      <c r="C2" s="600"/>
      <c r="D2" s="600"/>
      <c r="E2" s="600"/>
      <c r="F2" s="600"/>
      <c r="G2" s="600"/>
    </row>
    <row r="4" spans="1:7" ht="17.45">
      <c r="A4" s="461" t="s">
        <v>1013</v>
      </c>
      <c r="B4" s="462" t="s">
        <v>1014</v>
      </c>
      <c r="C4" s="462" t="s">
        <v>1015</v>
      </c>
      <c r="D4" s="463" t="s">
        <v>1016</v>
      </c>
      <c r="E4" s="464" t="s">
        <v>1017</v>
      </c>
      <c r="F4" s="464" t="s">
        <v>1018</v>
      </c>
      <c r="G4" s="465" t="s">
        <v>1019</v>
      </c>
    </row>
    <row r="5" spans="1:7">
      <c r="A5" s="466" t="s">
        <v>1020</v>
      </c>
      <c r="B5" s="467" t="s">
        <v>1021</v>
      </c>
      <c r="C5" s="467" t="s">
        <v>1022</v>
      </c>
      <c r="D5" s="463"/>
      <c r="E5" s="468" t="s">
        <v>1023</v>
      </c>
      <c r="F5" s="469"/>
      <c r="G5" s="470"/>
    </row>
    <row r="6" spans="1:7">
      <c r="A6" s="471" t="s">
        <v>1024</v>
      </c>
      <c r="B6" s="472" t="s">
        <v>1025</v>
      </c>
      <c r="C6" s="471" t="s">
        <v>1026</v>
      </c>
      <c r="D6" s="473" t="s">
        <v>1027</v>
      </c>
      <c r="E6" s="468" t="s">
        <v>1028</v>
      </c>
      <c r="F6" s="474" t="s">
        <v>1029</v>
      </c>
      <c r="G6" s="475"/>
    </row>
    <row r="7" spans="1:7">
      <c r="A7" s="471" t="s">
        <v>1024</v>
      </c>
      <c r="B7" s="472" t="s">
        <v>1030</v>
      </c>
      <c r="C7" s="471" t="s">
        <v>1031</v>
      </c>
      <c r="D7" s="473" t="s">
        <v>1027</v>
      </c>
      <c r="E7" s="468" t="s">
        <v>1032</v>
      </c>
      <c r="F7" s="475" t="s">
        <v>1033</v>
      </c>
      <c r="G7" s="475" t="s">
        <v>421</v>
      </c>
    </row>
    <row r="8" spans="1:7">
      <c r="A8" s="471" t="s">
        <v>1024</v>
      </c>
      <c r="B8" s="472" t="s">
        <v>1034</v>
      </c>
      <c r="C8" s="471" t="s">
        <v>1035</v>
      </c>
      <c r="D8" s="473" t="s">
        <v>1027</v>
      </c>
      <c r="E8" s="468" t="s">
        <v>1036</v>
      </c>
      <c r="F8" s="475" t="s">
        <v>1033</v>
      </c>
      <c r="G8" s="475" t="s">
        <v>421</v>
      </c>
    </row>
    <row r="9" spans="1:7">
      <c r="A9" s="471" t="s">
        <v>1024</v>
      </c>
      <c r="B9" s="472" t="s">
        <v>1037</v>
      </c>
      <c r="C9" s="471" t="s">
        <v>1038</v>
      </c>
      <c r="D9" s="473" t="s">
        <v>1027</v>
      </c>
      <c r="E9" s="468" t="s">
        <v>1039</v>
      </c>
      <c r="F9" s="475" t="s">
        <v>1033</v>
      </c>
      <c r="G9" s="475" t="s">
        <v>421</v>
      </c>
    </row>
    <row r="10" spans="1:7">
      <c r="A10" s="471" t="s">
        <v>1024</v>
      </c>
      <c r="B10" s="472" t="s">
        <v>1040</v>
      </c>
      <c r="C10" s="471" t="s">
        <v>1041</v>
      </c>
      <c r="D10" s="473" t="s">
        <v>1027</v>
      </c>
      <c r="E10" s="468" t="s">
        <v>1042</v>
      </c>
      <c r="F10" s="475" t="s">
        <v>1033</v>
      </c>
      <c r="G10" s="475" t="s">
        <v>421</v>
      </c>
    </row>
    <row r="11" spans="1:7">
      <c r="A11" s="471" t="s">
        <v>1024</v>
      </c>
      <c r="B11" s="472" t="s">
        <v>1043</v>
      </c>
      <c r="C11" s="471" t="s">
        <v>1044</v>
      </c>
      <c r="D11" s="473" t="s">
        <v>1027</v>
      </c>
      <c r="E11" s="468" t="s">
        <v>1045</v>
      </c>
      <c r="F11" s="475" t="s">
        <v>1033</v>
      </c>
      <c r="G11" s="475" t="s">
        <v>421</v>
      </c>
    </row>
    <row r="12" spans="1:7">
      <c r="A12" s="471" t="s">
        <v>1024</v>
      </c>
      <c r="B12" s="472" t="s">
        <v>1046</v>
      </c>
      <c r="C12" s="471" t="s">
        <v>1047</v>
      </c>
      <c r="D12" s="473" t="s">
        <v>1027</v>
      </c>
      <c r="E12" s="468" t="s">
        <v>1048</v>
      </c>
      <c r="F12" s="475" t="s">
        <v>1033</v>
      </c>
      <c r="G12" s="475" t="s">
        <v>421</v>
      </c>
    </row>
    <row r="13" spans="1:7">
      <c r="A13" s="471" t="s">
        <v>1024</v>
      </c>
      <c r="B13" s="472" t="s">
        <v>1049</v>
      </c>
      <c r="C13" s="471" t="s">
        <v>1050</v>
      </c>
      <c r="D13" s="473" t="s">
        <v>1027</v>
      </c>
      <c r="E13" s="468" t="s">
        <v>1051</v>
      </c>
      <c r="F13" s="475" t="s">
        <v>1033</v>
      </c>
      <c r="G13" s="475" t="s">
        <v>421</v>
      </c>
    </row>
    <row r="14" spans="1:7">
      <c r="A14" s="471" t="s">
        <v>1024</v>
      </c>
      <c r="B14" s="472" t="s">
        <v>1052</v>
      </c>
      <c r="C14" s="471" t="s">
        <v>1053</v>
      </c>
      <c r="D14" s="473" t="s">
        <v>1027</v>
      </c>
      <c r="E14" s="468" t="s">
        <v>1054</v>
      </c>
      <c r="F14" s="475" t="s">
        <v>1033</v>
      </c>
      <c r="G14" s="475" t="s">
        <v>421</v>
      </c>
    </row>
    <row r="15" spans="1:7">
      <c r="A15" s="471" t="s">
        <v>1024</v>
      </c>
      <c r="B15" s="472" t="s">
        <v>1055</v>
      </c>
      <c r="C15" s="471" t="s">
        <v>1056</v>
      </c>
      <c r="D15" s="473" t="s">
        <v>1027</v>
      </c>
      <c r="E15" s="468" t="s">
        <v>1057</v>
      </c>
      <c r="F15" s="475" t="s">
        <v>1033</v>
      </c>
      <c r="G15" s="475" t="s">
        <v>421</v>
      </c>
    </row>
    <row r="16" spans="1:7">
      <c r="A16" s="471" t="s">
        <v>1024</v>
      </c>
      <c r="B16" s="472" t="s">
        <v>1058</v>
      </c>
      <c r="C16" s="471" t="s">
        <v>1059</v>
      </c>
      <c r="D16" s="473" t="s">
        <v>1027</v>
      </c>
      <c r="E16" s="468" t="s">
        <v>1060</v>
      </c>
      <c r="F16" s="475" t="s">
        <v>1033</v>
      </c>
      <c r="G16" s="475" t="s">
        <v>421</v>
      </c>
    </row>
    <row r="17" spans="1:7">
      <c r="A17" s="471" t="s">
        <v>1024</v>
      </c>
      <c r="B17" s="472" t="s">
        <v>1061</v>
      </c>
      <c r="C17" s="471" t="s">
        <v>1062</v>
      </c>
      <c r="D17" s="473" t="s">
        <v>1027</v>
      </c>
      <c r="E17" s="468" t="s">
        <v>1063</v>
      </c>
      <c r="F17" s="475" t="s">
        <v>1033</v>
      </c>
      <c r="G17" s="475" t="s">
        <v>421</v>
      </c>
    </row>
    <row r="18" spans="1:7">
      <c r="A18" s="471" t="s">
        <v>1064</v>
      </c>
      <c r="B18" s="472" t="s">
        <v>1065</v>
      </c>
      <c r="C18" s="471" t="s">
        <v>1066</v>
      </c>
      <c r="D18" s="473" t="s">
        <v>1027</v>
      </c>
      <c r="E18" s="468" t="s">
        <v>1067</v>
      </c>
      <c r="F18" s="476" t="s">
        <v>1029</v>
      </c>
      <c r="G18" s="475"/>
    </row>
    <row r="19" spans="1:7">
      <c r="A19" s="461" t="s">
        <v>1064</v>
      </c>
      <c r="B19" s="462"/>
      <c r="C19" s="467" t="s">
        <v>1022</v>
      </c>
      <c r="D19" s="463"/>
      <c r="E19" s="468"/>
      <c r="F19" s="469"/>
      <c r="G19" s="470"/>
    </row>
    <row r="20" spans="1:7">
      <c r="A20" s="471" t="s">
        <v>1064</v>
      </c>
      <c r="B20" s="472" t="s">
        <v>1025</v>
      </c>
      <c r="C20" s="471" t="s">
        <v>1026</v>
      </c>
      <c r="D20" s="473" t="s">
        <v>1027</v>
      </c>
      <c r="E20" s="468" t="s">
        <v>1068</v>
      </c>
      <c r="F20" s="474" t="s">
        <v>1029</v>
      </c>
      <c r="G20" s="477"/>
    </row>
    <row r="21" spans="1:7">
      <c r="A21" s="471" t="s">
        <v>1064</v>
      </c>
      <c r="B21" s="472" t="s">
        <v>1069</v>
      </c>
      <c r="C21" s="471" t="s">
        <v>1070</v>
      </c>
      <c r="D21" s="473" t="s">
        <v>1027</v>
      </c>
      <c r="E21" s="468" t="s">
        <v>1071</v>
      </c>
      <c r="F21" s="474" t="s">
        <v>1029</v>
      </c>
      <c r="G21" s="477"/>
    </row>
    <row r="22" spans="1:7">
      <c r="A22" s="471" t="s">
        <v>1064</v>
      </c>
      <c r="B22" s="472" t="s">
        <v>1030</v>
      </c>
      <c r="C22" s="471" t="s">
        <v>1031</v>
      </c>
      <c r="D22" s="473" t="s">
        <v>1027</v>
      </c>
      <c r="E22" s="468" t="s">
        <v>1072</v>
      </c>
      <c r="F22" s="475" t="s">
        <v>612</v>
      </c>
      <c r="G22" s="475" t="s">
        <v>1073</v>
      </c>
    </row>
    <row r="23" spans="1:7">
      <c r="A23" s="471" t="s">
        <v>1064</v>
      </c>
      <c r="B23" s="472" t="s">
        <v>1074</v>
      </c>
      <c r="C23" s="471" t="s">
        <v>1075</v>
      </c>
      <c r="D23" s="473" t="s">
        <v>1027</v>
      </c>
      <c r="E23" s="468" t="s">
        <v>1076</v>
      </c>
      <c r="F23" s="475" t="s">
        <v>664</v>
      </c>
      <c r="G23" s="477"/>
    </row>
    <row r="24" spans="1:7">
      <c r="A24" s="471" t="s">
        <v>1064</v>
      </c>
      <c r="B24" s="472" t="s">
        <v>1077</v>
      </c>
      <c r="C24" s="471" t="s">
        <v>1078</v>
      </c>
      <c r="D24" s="473" t="s">
        <v>1027</v>
      </c>
      <c r="E24" s="468" t="s">
        <v>1079</v>
      </c>
      <c r="F24" s="475" t="s">
        <v>664</v>
      </c>
      <c r="G24" s="477"/>
    </row>
    <row r="25" spans="1:7">
      <c r="A25" s="471" t="s">
        <v>1064</v>
      </c>
      <c r="B25" s="472" t="s">
        <v>1080</v>
      </c>
      <c r="C25" s="471" t="s">
        <v>1081</v>
      </c>
      <c r="D25" s="473" t="s">
        <v>1027</v>
      </c>
      <c r="E25" s="468" t="s">
        <v>1082</v>
      </c>
      <c r="F25" s="474" t="s">
        <v>664</v>
      </c>
      <c r="G25" s="477"/>
    </row>
    <row r="26" spans="1:7">
      <c r="A26" s="471" t="s">
        <v>1064</v>
      </c>
      <c r="B26" s="472" t="s">
        <v>1043</v>
      </c>
      <c r="C26" s="471" t="s">
        <v>1044</v>
      </c>
      <c r="D26" s="473" t="s">
        <v>1027</v>
      </c>
      <c r="E26" s="468" t="s">
        <v>1083</v>
      </c>
      <c r="F26" s="475" t="s">
        <v>1084</v>
      </c>
      <c r="G26" s="477"/>
    </row>
    <row r="27" spans="1:7">
      <c r="A27" s="471" t="s">
        <v>1064</v>
      </c>
      <c r="B27" s="472" t="s">
        <v>1061</v>
      </c>
      <c r="C27" s="471" t="s">
        <v>1062</v>
      </c>
      <c r="D27" s="473" t="s">
        <v>1027</v>
      </c>
      <c r="E27" s="468" t="s">
        <v>1085</v>
      </c>
      <c r="F27" s="475" t="s">
        <v>1084</v>
      </c>
      <c r="G27" s="477"/>
    </row>
    <row r="28" spans="1:7">
      <c r="A28" s="471" t="s">
        <v>1064</v>
      </c>
      <c r="B28" s="472" t="s">
        <v>1086</v>
      </c>
      <c r="C28" s="471" t="s">
        <v>1087</v>
      </c>
      <c r="D28" s="473" t="s">
        <v>1027</v>
      </c>
      <c r="E28" s="468" t="s">
        <v>1088</v>
      </c>
      <c r="F28" s="474" t="s">
        <v>343</v>
      </c>
      <c r="G28" s="478" t="s">
        <v>352</v>
      </c>
    </row>
    <row r="29" spans="1:7">
      <c r="A29" s="471" t="s">
        <v>1064</v>
      </c>
      <c r="B29" s="472" t="s">
        <v>1089</v>
      </c>
      <c r="C29" s="471" t="s">
        <v>1090</v>
      </c>
      <c r="D29" s="473" t="s">
        <v>1027</v>
      </c>
      <c r="E29" s="468" t="s">
        <v>1091</v>
      </c>
      <c r="F29" s="474" t="s">
        <v>343</v>
      </c>
      <c r="G29" s="478" t="s">
        <v>346</v>
      </c>
    </row>
    <row r="30" spans="1:7">
      <c r="A30" s="471" t="s">
        <v>1064</v>
      </c>
      <c r="B30" s="472" t="s">
        <v>1092</v>
      </c>
      <c r="C30" s="471" t="s">
        <v>1093</v>
      </c>
      <c r="D30" s="473" t="s">
        <v>1027</v>
      </c>
      <c r="E30" s="468" t="s">
        <v>1094</v>
      </c>
      <c r="F30" s="475" t="s">
        <v>1095</v>
      </c>
      <c r="G30" s="474"/>
    </row>
    <row r="31" spans="1:7">
      <c r="A31" s="471" t="s">
        <v>1064</v>
      </c>
      <c r="B31" s="472" t="s">
        <v>1096</v>
      </c>
      <c r="C31" s="471" t="s">
        <v>1097</v>
      </c>
      <c r="D31" s="473"/>
      <c r="E31" s="468" t="s">
        <v>1098</v>
      </c>
      <c r="F31" s="479" t="s">
        <v>1029</v>
      </c>
      <c r="G31" s="477"/>
    </row>
    <row r="32" spans="1:7">
      <c r="A32" s="471" t="s">
        <v>1064</v>
      </c>
      <c r="B32" s="472" t="s">
        <v>1099</v>
      </c>
      <c r="C32" s="471" t="s">
        <v>1100</v>
      </c>
      <c r="D32" s="473" t="s">
        <v>1027</v>
      </c>
      <c r="E32" s="468" t="s">
        <v>1101</v>
      </c>
      <c r="F32" s="475" t="s">
        <v>1095</v>
      </c>
      <c r="G32" s="474"/>
    </row>
    <row r="33" spans="1:7">
      <c r="A33" s="471" t="s">
        <v>1064</v>
      </c>
      <c r="B33" s="472" t="s">
        <v>1102</v>
      </c>
      <c r="C33" s="471" t="s">
        <v>1103</v>
      </c>
      <c r="D33" s="473" t="s">
        <v>1027</v>
      </c>
      <c r="E33" s="468" t="s">
        <v>1104</v>
      </c>
      <c r="F33" s="480" t="s">
        <v>1084</v>
      </c>
      <c r="G33" s="481" t="s">
        <v>1105</v>
      </c>
    </row>
    <row r="34" spans="1:7">
      <c r="A34" s="471" t="s">
        <v>1064</v>
      </c>
      <c r="B34" s="472" t="s">
        <v>1106</v>
      </c>
      <c r="C34" s="471" t="s">
        <v>1107</v>
      </c>
      <c r="D34" s="473" t="s">
        <v>1027</v>
      </c>
      <c r="E34" s="468" t="s">
        <v>1108</v>
      </c>
      <c r="F34" s="475" t="s">
        <v>612</v>
      </c>
      <c r="G34" s="475" t="s">
        <v>1109</v>
      </c>
    </row>
    <row r="35" spans="1:7">
      <c r="A35" s="471" t="s">
        <v>1064</v>
      </c>
      <c r="B35" s="472" t="s">
        <v>1110</v>
      </c>
      <c r="C35" s="471" t="s">
        <v>1111</v>
      </c>
      <c r="D35" s="473" t="s">
        <v>1027</v>
      </c>
      <c r="E35" s="468" t="s">
        <v>1112</v>
      </c>
      <c r="F35" s="475" t="s">
        <v>1084</v>
      </c>
      <c r="G35" s="477"/>
    </row>
    <row r="36" spans="1:7">
      <c r="A36" s="471" t="s">
        <v>1064</v>
      </c>
      <c r="B36" s="472" t="s">
        <v>1113</v>
      </c>
      <c r="C36" s="471" t="s">
        <v>1114</v>
      </c>
      <c r="D36" s="473" t="s">
        <v>1027</v>
      </c>
      <c r="E36" s="468" t="s">
        <v>1115</v>
      </c>
      <c r="F36" s="475" t="s">
        <v>1084</v>
      </c>
      <c r="G36" s="477"/>
    </row>
    <row r="37" spans="1:7">
      <c r="A37" s="471" t="s">
        <v>1064</v>
      </c>
      <c r="B37" s="472" t="s">
        <v>1116</v>
      </c>
      <c r="C37" s="471" t="s">
        <v>1117</v>
      </c>
      <c r="D37" s="473" t="s">
        <v>1027</v>
      </c>
      <c r="E37" s="468" t="s">
        <v>1118</v>
      </c>
      <c r="F37" s="475" t="s">
        <v>612</v>
      </c>
      <c r="G37" s="475" t="s">
        <v>1073</v>
      </c>
    </row>
    <row r="38" spans="1:7">
      <c r="A38" s="471" t="s">
        <v>1064</v>
      </c>
      <c r="B38" s="472" t="s">
        <v>1119</v>
      </c>
      <c r="C38" s="471" t="s">
        <v>1120</v>
      </c>
      <c r="D38" s="473" t="s">
        <v>1027</v>
      </c>
      <c r="E38" s="468" t="s">
        <v>1121</v>
      </c>
      <c r="F38" s="475" t="s">
        <v>612</v>
      </c>
      <c r="G38" s="475" t="s">
        <v>1073</v>
      </c>
    </row>
    <row r="39" spans="1:7">
      <c r="A39" s="471" t="s">
        <v>1064</v>
      </c>
      <c r="B39" s="472" t="s">
        <v>1122</v>
      </c>
      <c r="C39" s="471" t="s">
        <v>1123</v>
      </c>
      <c r="D39" s="473" t="s">
        <v>1027</v>
      </c>
      <c r="E39" s="468" t="s">
        <v>1124</v>
      </c>
      <c r="F39" s="475" t="s">
        <v>612</v>
      </c>
      <c r="G39" s="475" t="s">
        <v>1073</v>
      </c>
    </row>
    <row r="40" spans="1:7">
      <c r="A40" s="471" t="s">
        <v>1064</v>
      </c>
      <c r="B40" s="472" t="s">
        <v>1125</v>
      </c>
      <c r="C40" s="471" t="s">
        <v>1126</v>
      </c>
      <c r="D40" s="473" t="s">
        <v>1027</v>
      </c>
      <c r="E40" s="468" t="s">
        <v>1127</v>
      </c>
      <c r="F40" s="475" t="s">
        <v>612</v>
      </c>
      <c r="G40" s="475" t="s">
        <v>1073</v>
      </c>
    </row>
    <row r="41" spans="1:7">
      <c r="A41" s="471" t="s">
        <v>1064</v>
      </c>
      <c r="B41" s="472" t="s">
        <v>1128</v>
      </c>
      <c r="C41" s="471" t="s">
        <v>1129</v>
      </c>
      <c r="D41" s="473" t="s">
        <v>1027</v>
      </c>
      <c r="E41" s="468" t="s">
        <v>1130</v>
      </c>
      <c r="F41" s="475" t="s">
        <v>612</v>
      </c>
      <c r="G41" s="475" t="s">
        <v>1073</v>
      </c>
    </row>
    <row r="42" spans="1:7">
      <c r="A42" s="471" t="s">
        <v>1064</v>
      </c>
      <c r="B42" s="472" t="s">
        <v>1131</v>
      </c>
      <c r="C42" s="471" t="s">
        <v>1132</v>
      </c>
      <c r="D42" s="473" t="s">
        <v>1027</v>
      </c>
      <c r="E42" s="468" t="s">
        <v>1133</v>
      </c>
      <c r="F42" s="475" t="s">
        <v>612</v>
      </c>
      <c r="G42" s="475" t="s">
        <v>1073</v>
      </c>
    </row>
    <row r="43" spans="1:7">
      <c r="A43" s="471" t="s">
        <v>1064</v>
      </c>
      <c r="B43" s="472" t="s">
        <v>1134</v>
      </c>
      <c r="C43" s="471" t="s">
        <v>1135</v>
      </c>
      <c r="D43" s="473" t="s">
        <v>1027</v>
      </c>
      <c r="E43" s="468" t="s">
        <v>1136</v>
      </c>
      <c r="F43" s="475" t="s">
        <v>612</v>
      </c>
      <c r="G43" s="475" t="s">
        <v>1073</v>
      </c>
    </row>
    <row r="44" spans="1:7">
      <c r="A44" s="471" t="s">
        <v>1064</v>
      </c>
      <c r="B44" s="472" t="s">
        <v>1137</v>
      </c>
      <c r="C44" s="471" t="s">
        <v>1138</v>
      </c>
      <c r="D44" s="473" t="s">
        <v>1027</v>
      </c>
      <c r="E44" s="468" t="s">
        <v>1139</v>
      </c>
      <c r="F44" s="475" t="s">
        <v>612</v>
      </c>
      <c r="G44" s="475" t="s">
        <v>1073</v>
      </c>
    </row>
    <row r="45" spans="1:7">
      <c r="A45" s="471" t="s">
        <v>1064</v>
      </c>
      <c r="B45" s="472" t="s">
        <v>1140</v>
      </c>
      <c r="C45" s="471" t="s">
        <v>1141</v>
      </c>
      <c r="D45" s="473" t="s">
        <v>1027</v>
      </c>
      <c r="E45" s="468" t="s">
        <v>1142</v>
      </c>
      <c r="F45" s="479" t="s">
        <v>1029</v>
      </c>
      <c r="G45" s="475"/>
    </row>
    <row r="46" spans="1:7">
      <c r="A46" s="471" t="s">
        <v>1064</v>
      </c>
      <c r="B46" s="472" t="s">
        <v>1143</v>
      </c>
      <c r="C46" s="471" t="s">
        <v>1144</v>
      </c>
      <c r="D46" s="473" t="s">
        <v>1027</v>
      </c>
      <c r="E46" s="468" t="s">
        <v>1145</v>
      </c>
      <c r="F46" s="475" t="s">
        <v>612</v>
      </c>
      <c r="G46" s="475" t="s">
        <v>1073</v>
      </c>
    </row>
    <row r="47" spans="1:7">
      <c r="A47" s="471" t="s">
        <v>1064</v>
      </c>
      <c r="B47" s="472" t="s">
        <v>1146</v>
      </c>
      <c r="C47" s="471" t="s">
        <v>1147</v>
      </c>
      <c r="D47" s="473" t="s">
        <v>1027</v>
      </c>
      <c r="E47" s="468" t="s">
        <v>1148</v>
      </c>
      <c r="F47" s="475" t="s">
        <v>612</v>
      </c>
      <c r="G47" s="475" t="s">
        <v>1149</v>
      </c>
    </row>
    <row r="48" spans="1:7">
      <c r="A48" s="471" t="s">
        <v>1064</v>
      </c>
      <c r="B48" s="472" t="s">
        <v>1150</v>
      </c>
      <c r="C48" s="471" t="s">
        <v>1151</v>
      </c>
      <c r="D48" s="473" t="s">
        <v>1027</v>
      </c>
      <c r="E48" s="468" t="s">
        <v>1152</v>
      </c>
      <c r="F48" s="475" t="s">
        <v>612</v>
      </c>
      <c r="G48" s="475" t="s">
        <v>1149</v>
      </c>
    </row>
    <row r="49" spans="1:7">
      <c r="A49" s="471" t="s">
        <v>1064</v>
      </c>
      <c r="B49" s="472" t="s">
        <v>1153</v>
      </c>
      <c r="C49" s="471" t="s">
        <v>1154</v>
      </c>
      <c r="D49" s="473" t="s">
        <v>1027</v>
      </c>
      <c r="E49" s="468" t="s">
        <v>1155</v>
      </c>
      <c r="F49" s="475" t="s">
        <v>612</v>
      </c>
      <c r="G49" s="475" t="s">
        <v>1149</v>
      </c>
    </row>
    <row r="50" spans="1:7">
      <c r="A50" s="471" t="s">
        <v>1064</v>
      </c>
      <c r="B50" s="472" t="s">
        <v>1156</v>
      </c>
      <c r="C50" s="471" t="s">
        <v>1157</v>
      </c>
      <c r="D50" s="473" t="s">
        <v>1027</v>
      </c>
      <c r="E50" s="468" t="s">
        <v>1158</v>
      </c>
      <c r="F50" s="475" t="s">
        <v>612</v>
      </c>
      <c r="G50" s="475" t="s">
        <v>1149</v>
      </c>
    </row>
    <row r="51" spans="1:7">
      <c r="A51" s="471" t="s">
        <v>1064</v>
      </c>
      <c r="B51" s="472" t="s">
        <v>1159</v>
      </c>
      <c r="C51" s="471" t="s">
        <v>1160</v>
      </c>
      <c r="D51" s="473" t="s">
        <v>1027</v>
      </c>
      <c r="E51" s="468" t="s">
        <v>1161</v>
      </c>
      <c r="F51" s="475" t="s">
        <v>612</v>
      </c>
      <c r="G51" s="475" t="s">
        <v>1149</v>
      </c>
    </row>
    <row r="52" spans="1:7">
      <c r="A52" s="471" t="s">
        <v>1064</v>
      </c>
      <c r="B52" s="472" t="s">
        <v>1162</v>
      </c>
      <c r="C52" s="471" t="s">
        <v>1163</v>
      </c>
      <c r="D52" s="473" t="s">
        <v>1027</v>
      </c>
      <c r="E52" s="468" t="s">
        <v>1164</v>
      </c>
      <c r="F52" s="475" t="s">
        <v>612</v>
      </c>
      <c r="G52" s="475" t="s">
        <v>1149</v>
      </c>
    </row>
    <row r="53" spans="1:7">
      <c r="A53" s="471" t="s">
        <v>1064</v>
      </c>
      <c r="B53" s="472" t="s">
        <v>1165</v>
      </c>
      <c r="C53" s="471" t="s">
        <v>1166</v>
      </c>
      <c r="D53" s="473" t="s">
        <v>1027</v>
      </c>
      <c r="E53" s="468" t="s">
        <v>1167</v>
      </c>
      <c r="F53" s="475" t="s">
        <v>612</v>
      </c>
      <c r="G53" s="475" t="s">
        <v>1149</v>
      </c>
    </row>
    <row r="54" spans="1:7">
      <c r="A54" s="471" t="s">
        <v>1064</v>
      </c>
      <c r="B54" s="472" t="s">
        <v>1168</v>
      </c>
      <c r="C54" s="471" t="s">
        <v>1169</v>
      </c>
      <c r="D54" s="473" t="s">
        <v>1027</v>
      </c>
      <c r="E54" s="468" t="s">
        <v>1170</v>
      </c>
      <c r="F54" s="475" t="s">
        <v>612</v>
      </c>
      <c r="G54" s="475" t="s">
        <v>1149</v>
      </c>
    </row>
    <row r="55" spans="1:7">
      <c r="A55" s="471" t="s">
        <v>1064</v>
      </c>
      <c r="B55" s="472" t="s">
        <v>1171</v>
      </c>
      <c r="C55" s="471" t="s">
        <v>1172</v>
      </c>
      <c r="D55" s="473" t="s">
        <v>1027</v>
      </c>
      <c r="E55" s="468" t="s">
        <v>1173</v>
      </c>
      <c r="F55" s="475" t="s">
        <v>612</v>
      </c>
      <c r="G55" s="475" t="s">
        <v>1149</v>
      </c>
    </row>
    <row r="56" spans="1:7">
      <c r="A56" s="471" t="s">
        <v>1064</v>
      </c>
      <c r="B56" s="472" t="s">
        <v>1174</v>
      </c>
      <c r="C56" s="471" t="s">
        <v>1175</v>
      </c>
      <c r="D56" s="473" t="s">
        <v>1027</v>
      </c>
      <c r="E56" s="468" t="s">
        <v>1176</v>
      </c>
      <c r="F56" s="479" t="s">
        <v>1029</v>
      </c>
      <c r="G56" s="475"/>
    </row>
    <row r="57" spans="1:7">
      <c r="A57" s="471" t="s">
        <v>1064</v>
      </c>
      <c r="B57" s="472" t="s">
        <v>1177</v>
      </c>
      <c r="C57" s="471" t="s">
        <v>1178</v>
      </c>
      <c r="D57" s="473" t="s">
        <v>1027</v>
      </c>
      <c r="E57" s="468" t="s">
        <v>1179</v>
      </c>
      <c r="F57" s="475" t="s">
        <v>612</v>
      </c>
      <c r="G57" s="475" t="s">
        <v>1149</v>
      </c>
    </row>
    <row r="58" spans="1:7">
      <c r="A58" s="471" t="s">
        <v>1064</v>
      </c>
      <c r="B58" s="472" t="s">
        <v>1180</v>
      </c>
      <c r="C58" s="471" t="s">
        <v>1181</v>
      </c>
      <c r="D58" s="473"/>
      <c r="E58" s="468" t="s">
        <v>1182</v>
      </c>
      <c r="F58" s="479" t="s">
        <v>1029</v>
      </c>
      <c r="G58" s="477"/>
    </row>
    <row r="59" spans="1:7">
      <c r="A59" s="471" t="s">
        <v>1064</v>
      </c>
      <c r="B59" s="472" t="s">
        <v>1183</v>
      </c>
      <c r="C59" s="471" t="s">
        <v>1184</v>
      </c>
      <c r="D59" s="473"/>
      <c r="E59" s="468" t="s">
        <v>1185</v>
      </c>
      <c r="F59" s="479" t="s">
        <v>1029</v>
      </c>
      <c r="G59" s="477"/>
    </row>
    <row r="60" spans="1:7">
      <c r="A60" s="471" t="s">
        <v>1064</v>
      </c>
      <c r="B60" s="472" t="s">
        <v>1186</v>
      </c>
      <c r="C60" s="471" t="s">
        <v>1187</v>
      </c>
      <c r="D60" s="473"/>
      <c r="E60" s="468" t="s">
        <v>1188</v>
      </c>
      <c r="F60" s="479" t="s">
        <v>1029</v>
      </c>
      <c r="G60" s="477"/>
    </row>
    <row r="61" spans="1:7">
      <c r="A61" s="471" t="s">
        <v>1064</v>
      </c>
      <c r="B61" s="472" t="s">
        <v>1189</v>
      </c>
      <c r="C61" s="471" t="s">
        <v>1190</v>
      </c>
      <c r="D61" s="473"/>
      <c r="E61" s="468" t="s">
        <v>1191</v>
      </c>
      <c r="F61" s="479" t="s">
        <v>1029</v>
      </c>
      <c r="G61" s="477"/>
    </row>
    <row r="62" spans="1:7">
      <c r="A62" s="471" t="s">
        <v>1064</v>
      </c>
      <c r="B62" s="472" t="s">
        <v>1192</v>
      </c>
      <c r="C62" s="471" t="s">
        <v>1193</v>
      </c>
      <c r="D62" s="473"/>
      <c r="E62" s="468" t="s">
        <v>1194</v>
      </c>
      <c r="F62" s="479" t="s">
        <v>1029</v>
      </c>
      <c r="G62" s="477"/>
    </row>
    <row r="63" spans="1:7">
      <c r="A63" s="471" t="s">
        <v>1064</v>
      </c>
      <c r="B63" s="472" t="s">
        <v>1195</v>
      </c>
      <c r="C63" s="471" t="s">
        <v>1196</v>
      </c>
      <c r="D63" s="473"/>
      <c r="E63" s="468" t="s">
        <v>1197</v>
      </c>
      <c r="F63" s="479" t="s">
        <v>1029</v>
      </c>
      <c r="G63" s="477"/>
    </row>
    <row r="64" spans="1:7">
      <c r="A64" s="471" t="s">
        <v>1064</v>
      </c>
      <c r="B64" s="472" t="s">
        <v>1198</v>
      </c>
      <c r="C64" s="471" t="s">
        <v>1199</v>
      </c>
      <c r="D64" s="473"/>
      <c r="E64" s="468" t="s">
        <v>1200</v>
      </c>
      <c r="F64" s="479" t="s">
        <v>1029</v>
      </c>
      <c r="G64" s="477"/>
    </row>
    <row r="65" spans="1:7">
      <c r="A65" s="471" t="s">
        <v>1064</v>
      </c>
      <c r="B65" s="472" t="s">
        <v>1201</v>
      </c>
      <c r="C65" s="471" t="s">
        <v>1202</v>
      </c>
      <c r="D65" s="473"/>
      <c r="E65" s="468" t="s">
        <v>1203</v>
      </c>
      <c r="F65" s="479" t="s">
        <v>1029</v>
      </c>
      <c r="G65" s="477"/>
    </row>
    <row r="66" spans="1:7">
      <c r="A66" s="471" t="s">
        <v>1064</v>
      </c>
      <c r="B66" s="472" t="s">
        <v>1204</v>
      </c>
      <c r="C66" s="471" t="s">
        <v>1205</v>
      </c>
      <c r="D66" s="473"/>
      <c r="E66" s="468" t="s">
        <v>1206</v>
      </c>
      <c r="F66" s="479" t="s">
        <v>1029</v>
      </c>
      <c r="G66" s="477"/>
    </row>
    <row r="67" spans="1:7">
      <c r="A67" s="471" t="s">
        <v>1064</v>
      </c>
      <c r="B67" s="472" t="s">
        <v>1207</v>
      </c>
      <c r="C67" s="471" t="s">
        <v>1208</v>
      </c>
      <c r="D67" s="473"/>
      <c r="E67" s="468" t="s">
        <v>1209</v>
      </c>
      <c r="F67" s="479" t="s">
        <v>1029</v>
      </c>
      <c r="G67" s="477"/>
    </row>
    <row r="68" spans="1:7">
      <c r="A68" s="461" t="s">
        <v>1210</v>
      </c>
      <c r="B68" s="462"/>
      <c r="C68" s="462" t="s">
        <v>1022</v>
      </c>
      <c r="D68" s="463"/>
      <c r="E68" s="468" t="s">
        <v>1211</v>
      </c>
      <c r="F68" s="469"/>
      <c r="G68" s="470"/>
    </row>
    <row r="69" spans="1:7">
      <c r="A69" s="471" t="s">
        <v>1210</v>
      </c>
      <c r="B69" s="472" t="s">
        <v>1025</v>
      </c>
      <c r="C69" s="471" t="s">
        <v>1026</v>
      </c>
      <c r="D69" s="473"/>
      <c r="E69" s="468" t="s">
        <v>1212</v>
      </c>
      <c r="F69" s="474" t="s">
        <v>1029</v>
      </c>
      <c r="G69" s="477"/>
    </row>
    <row r="70" spans="1:7">
      <c r="A70" s="471" t="s">
        <v>1210</v>
      </c>
      <c r="B70" s="472" t="s">
        <v>1030</v>
      </c>
      <c r="C70" s="471" t="s">
        <v>1031</v>
      </c>
      <c r="D70" s="473"/>
      <c r="E70" s="468" t="s">
        <v>1213</v>
      </c>
      <c r="F70" s="479" t="s">
        <v>221</v>
      </c>
      <c r="G70" s="477"/>
    </row>
    <row r="71" spans="1:7">
      <c r="A71" s="471" t="s">
        <v>1210</v>
      </c>
      <c r="B71" s="472" t="s">
        <v>1214</v>
      </c>
      <c r="C71" s="471" t="s">
        <v>1215</v>
      </c>
      <c r="D71" s="473" t="s">
        <v>1027</v>
      </c>
      <c r="E71" s="468" t="s">
        <v>1216</v>
      </c>
      <c r="F71" s="475" t="s">
        <v>221</v>
      </c>
      <c r="G71" s="475" t="s">
        <v>289</v>
      </c>
    </row>
    <row r="72" spans="1:7">
      <c r="A72" s="471" t="s">
        <v>1210</v>
      </c>
      <c r="B72" s="472" t="s">
        <v>1217</v>
      </c>
      <c r="C72" s="471" t="s">
        <v>1218</v>
      </c>
      <c r="D72" s="473" t="s">
        <v>1027</v>
      </c>
      <c r="E72" s="468" t="s">
        <v>1219</v>
      </c>
      <c r="F72" s="475" t="s">
        <v>221</v>
      </c>
      <c r="G72" s="475" t="s">
        <v>227</v>
      </c>
    </row>
    <row r="73" spans="1:7">
      <c r="A73" s="471" t="s">
        <v>1210</v>
      </c>
      <c r="B73" s="472" t="s">
        <v>1080</v>
      </c>
      <c r="C73" s="471" t="s">
        <v>1081</v>
      </c>
      <c r="D73" s="473"/>
      <c r="E73" s="468" t="s">
        <v>1220</v>
      </c>
      <c r="F73" s="479" t="s">
        <v>664</v>
      </c>
      <c r="G73" s="477"/>
    </row>
    <row r="74" spans="1:7">
      <c r="A74" s="471" t="s">
        <v>1210</v>
      </c>
      <c r="B74" s="472" t="s">
        <v>1221</v>
      </c>
      <c r="C74" s="471" t="s">
        <v>1222</v>
      </c>
      <c r="D74" s="473"/>
      <c r="E74" s="468" t="s">
        <v>1223</v>
      </c>
      <c r="F74" s="474" t="s">
        <v>664</v>
      </c>
      <c r="G74" s="477"/>
    </row>
    <row r="75" spans="1:7">
      <c r="A75" s="471" t="s">
        <v>1210</v>
      </c>
      <c r="B75" s="472" t="s">
        <v>1224</v>
      </c>
      <c r="C75" s="471" t="s">
        <v>1225</v>
      </c>
      <c r="D75" s="473"/>
      <c r="E75" s="468" t="s">
        <v>1226</v>
      </c>
      <c r="F75" s="479" t="s">
        <v>664</v>
      </c>
      <c r="G75" s="477"/>
    </row>
    <row r="76" spans="1:7">
      <c r="A76" s="471" t="s">
        <v>1210</v>
      </c>
      <c r="B76" s="472" t="s">
        <v>1227</v>
      </c>
      <c r="C76" s="471" t="s">
        <v>1228</v>
      </c>
      <c r="D76" s="473" t="s">
        <v>1027</v>
      </c>
      <c r="E76" s="468" t="s">
        <v>1229</v>
      </c>
      <c r="F76" s="475" t="s">
        <v>221</v>
      </c>
      <c r="G76" s="475" t="s">
        <v>241</v>
      </c>
    </row>
    <row r="77" spans="1:7">
      <c r="A77" s="471" t="s">
        <v>1210</v>
      </c>
      <c r="B77" s="472" t="s">
        <v>1230</v>
      </c>
      <c r="C77" s="471" t="s">
        <v>1231</v>
      </c>
      <c r="D77" s="473" t="s">
        <v>1027</v>
      </c>
      <c r="E77" s="468" t="s">
        <v>1232</v>
      </c>
      <c r="F77" s="475" t="s">
        <v>221</v>
      </c>
      <c r="G77" s="475" t="s">
        <v>241</v>
      </c>
    </row>
    <row r="78" spans="1:7">
      <c r="A78" s="471" t="s">
        <v>1210</v>
      </c>
      <c r="B78" s="472" t="s">
        <v>1233</v>
      </c>
      <c r="C78" s="471" t="s">
        <v>1234</v>
      </c>
      <c r="D78" s="473" t="s">
        <v>1027</v>
      </c>
      <c r="E78" s="468" t="s">
        <v>1235</v>
      </c>
      <c r="F78" s="475" t="s">
        <v>221</v>
      </c>
      <c r="G78" s="475" t="s">
        <v>241</v>
      </c>
    </row>
    <row r="79" spans="1:7">
      <c r="A79" s="471" t="s">
        <v>1210</v>
      </c>
      <c r="B79" s="472" t="s">
        <v>1236</v>
      </c>
      <c r="C79" s="471" t="s">
        <v>1237</v>
      </c>
      <c r="D79" s="473" t="s">
        <v>1027</v>
      </c>
      <c r="E79" s="468" t="s">
        <v>1238</v>
      </c>
      <c r="F79" s="479" t="s">
        <v>1029</v>
      </c>
      <c r="G79" s="475"/>
    </row>
    <row r="80" spans="1:7">
      <c r="A80" s="471" t="s">
        <v>1210</v>
      </c>
      <c r="B80" s="472" t="s">
        <v>1239</v>
      </c>
      <c r="C80" s="471" t="s">
        <v>1240</v>
      </c>
      <c r="D80" s="473" t="s">
        <v>1027</v>
      </c>
      <c r="E80" s="468" t="s">
        <v>1241</v>
      </c>
      <c r="F80" s="475" t="s">
        <v>221</v>
      </c>
      <c r="G80" s="475" t="s">
        <v>241</v>
      </c>
    </row>
    <row r="81" spans="1:7">
      <c r="A81" s="471" t="s">
        <v>1210</v>
      </c>
      <c r="B81" s="472" t="s">
        <v>1242</v>
      </c>
      <c r="C81" s="471" t="s">
        <v>1243</v>
      </c>
      <c r="D81" s="473" t="s">
        <v>1027</v>
      </c>
      <c r="E81" s="468" t="s">
        <v>1244</v>
      </c>
      <c r="F81" s="475" t="s">
        <v>221</v>
      </c>
      <c r="G81" s="475" t="s">
        <v>269</v>
      </c>
    </row>
    <row r="82" spans="1:7">
      <c r="A82" s="471" t="s">
        <v>1210</v>
      </c>
      <c r="B82" s="472" t="s">
        <v>1245</v>
      </c>
      <c r="C82" s="471" t="s">
        <v>1246</v>
      </c>
      <c r="D82" s="473" t="s">
        <v>1027</v>
      </c>
      <c r="E82" s="468" t="s">
        <v>1247</v>
      </c>
      <c r="F82" s="475" t="s">
        <v>221</v>
      </c>
      <c r="G82" s="475" t="s">
        <v>269</v>
      </c>
    </row>
    <row r="83" spans="1:7">
      <c r="A83" s="471" t="s">
        <v>1210</v>
      </c>
      <c r="B83" s="472" t="s">
        <v>1248</v>
      </c>
      <c r="C83" s="471" t="s">
        <v>1249</v>
      </c>
      <c r="D83" s="473" t="s">
        <v>1027</v>
      </c>
      <c r="E83" s="468" t="s">
        <v>1250</v>
      </c>
      <c r="F83" s="475" t="s">
        <v>221</v>
      </c>
      <c r="G83" s="475" t="s">
        <v>269</v>
      </c>
    </row>
    <row r="84" spans="1:7">
      <c r="A84" s="471" t="s">
        <v>1210</v>
      </c>
      <c r="B84" s="472" t="s">
        <v>1251</v>
      </c>
      <c r="C84" s="471" t="s">
        <v>1252</v>
      </c>
      <c r="D84" s="473" t="s">
        <v>1027</v>
      </c>
      <c r="E84" s="468" t="s">
        <v>1253</v>
      </c>
      <c r="F84" s="475" t="s">
        <v>221</v>
      </c>
      <c r="G84" s="475" t="s">
        <v>1254</v>
      </c>
    </row>
    <row r="85" spans="1:7">
      <c r="A85" s="471" t="s">
        <v>1210</v>
      </c>
      <c r="B85" s="472" t="s">
        <v>1255</v>
      </c>
      <c r="C85" s="471" t="s">
        <v>1256</v>
      </c>
      <c r="D85" s="473" t="s">
        <v>1027</v>
      </c>
      <c r="E85" s="468" t="s">
        <v>1257</v>
      </c>
      <c r="F85" s="475" t="s">
        <v>221</v>
      </c>
      <c r="G85" s="475" t="s">
        <v>289</v>
      </c>
    </row>
    <row r="86" spans="1:7">
      <c r="A86" s="471" t="s">
        <v>1210</v>
      </c>
      <c r="B86" s="472" t="s">
        <v>1258</v>
      </c>
      <c r="C86" s="471" t="s">
        <v>1259</v>
      </c>
      <c r="D86" s="473" t="s">
        <v>1027</v>
      </c>
      <c r="E86" s="468" t="s">
        <v>1260</v>
      </c>
      <c r="F86" s="475" t="s">
        <v>221</v>
      </c>
      <c r="G86" s="475" t="s">
        <v>289</v>
      </c>
    </row>
    <row r="87" spans="1:7">
      <c r="A87" s="471" t="s">
        <v>1210</v>
      </c>
      <c r="B87" s="472" t="s">
        <v>1261</v>
      </c>
      <c r="C87" s="471" t="s">
        <v>1262</v>
      </c>
      <c r="D87" s="473" t="s">
        <v>1027</v>
      </c>
      <c r="E87" s="468" t="s">
        <v>1263</v>
      </c>
      <c r="F87" s="475" t="s">
        <v>221</v>
      </c>
      <c r="G87" s="475" t="s">
        <v>289</v>
      </c>
    </row>
    <row r="88" spans="1:7">
      <c r="A88" s="471" t="s">
        <v>1210</v>
      </c>
      <c r="B88" s="472" t="s">
        <v>1264</v>
      </c>
      <c r="C88" s="471" t="s">
        <v>1265</v>
      </c>
      <c r="D88" s="473" t="s">
        <v>1027</v>
      </c>
      <c r="E88" s="468" t="s">
        <v>1266</v>
      </c>
      <c r="F88" s="475" t="s">
        <v>221</v>
      </c>
      <c r="G88" s="475" t="s">
        <v>289</v>
      </c>
    </row>
    <row r="89" spans="1:7">
      <c r="A89" s="471" t="s">
        <v>1210</v>
      </c>
      <c r="B89" s="472" t="s">
        <v>1267</v>
      </c>
      <c r="C89" s="471" t="s">
        <v>1268</v>
      </c>
      <c r="D89" s="473" t="s">
        <v>1027</v>
      </c>
      <c r="E89" s="468" t="s">
        <v>1269</v>
      </c>
      <c r="F89" s="479" t="s">
        <v>1029</v>
      </c>
      <c r="G89" s="475"/>
    </row>
    <row r="90" spans="1:7">
      <c r="A90" s="471" t="s">
        <v>1210</v>
      </c>
      <c r="B90" s="472" t="s">
        <v>1270</v>
      </c>
      <c r="C90" s="471" t="s">
        <v>1271</v>
      </c>
      <c r="D90" s="473" t="s">
        <v>1027</v>
      </c>
      <c r="E90" s="468" t="s">
        <v>1272</v>
      </c>
      <c r="F90" s="475" t="s">
        <v>221</v>
      </c>
      <c r="G90" s="475" t="s">
        <v>289</v>
      </c>
    </row>
    <row r="91" spans="1:7">
      <c r="A91" s="471" t="s">
        <v>1210</v>
      </c>
      <c r="B91" s="472" t="s">
        <v>1273</v>
      </c>
      <c r="C91" s="471" t="s">
        <v>1274</v>
      </c>
      <c r="D91" s="473" t="s">
        <v>1027</v>
      </c>
      <c r="E91" s="468" t="s">
        <v>1275</v>
      </c>
      <c r="F91" s="475" t="s">
        <v>221</v>
      </c>
      <c r="G91" s="475" t="s">
        <v>1276</v>
      </c>
    </row>
    <row r="92" spans="1:7">
      <c r="A92" s="471" t="s">
        <v>1210</v>
      </c>
      <c r="B92" s="472" t="s">
        <v>1277</v>
      </c>
      <c r="C92" s="471" t="s">
        <v>1278</v>
      </c>
      <c r="D92" s="473" t="s">
        <v>1027</v>
      </c>
      <c r="E92" s="468" t="s">
        <v>1279</v>
      </c>
      <c r="F92" s="475" t="s">
        <v>221</v>
      </c>
      <c r="G92" s="475" t="s">
        <v>1276</v>
      </c>
    </row>
    <row r="93" spans="1:7">
      <c r="A93" s="471" t="s">
        <v>1210</v>
      </c>
      <c r="B93" s="472" t="s">
        <v>1280</v>
      </c>
      <c r="C93" s="471" t="s">
        <v>1281</v>
      </c>
      <c r="D93" s="473" t="s">
        <v>1027</v>
      </c>
      <c r="E93" s="468" t="s">
        <v>1282</v>
      </c>
      <c r="F93" s="479" t="s">
        <v>1029</v>
      </c>
      <c r="G93" s="475"/>
    </row>
    <row r="94" spans="1:7">
      <c r="A94" s="471" t="s">
        <v>1210</v>
      </c>
      <c r="B94" s="472" t="s">
        <v>1283</v>
      </c>
      <c r="C94" s="471" t="s">
        <v>1284</v>
      </c>
      <c r="D94" s="473" t="s">
        <v>1027</v>
      </c>
      <c r="E94" s="468" t="s">
        <v>1285</v>
      </c>
      <c r="F94" s="475" t="s">
        <v>221</v>
      </c>
      <c r="G94" s="475" t="s">
        <v>1276</v>
      </c>
    </row>
    <row r="95" spans="1:7">
      <c r="A95" s="471" t="s">
        <v>1210</v>
      </c>
      <c r="B95" s="482" t="s">
        <v>1286</v>
      </c>
      <c r="C95" s="483" t="s">
        <v>1287</v>
      </c>
      <c r="D95" s="473"/>
      <c r="E95" s="468" t="s">
        <v>1288</v>
      </c>
      <c r="F95" s="474" t="s">
        <v>1029</v>
      </c>
      <c r="G95" s="477"/>
    </row>
    <row r="96" spans="1:7">
      <c r="A96" s="471" t="s">
        <v>1210</v>
      </c>
      <c r="B96" s="472" t="s">
        <v>1289</v>
      </c>
      <c r="C96" s="471" t="s">
        <v>1290</v>
      </c>
      <c r="D96" s="473"/>
      <c r="E96" s="468" t="s">
        <v>1291</v>
      </c>
      <c r="F96" s="479" t="s">
        <v>1029</v>
      </c>
      <c r="G96" s="477"/>
    </row>
    <row r="97" spans="1:7">
      <c r="A97" s="471" t="s">
        <v>1210</v>
      </c>
      <c r="B97" s="472" t="s">
        <v>1292</v>
      </c>
      <c r="C97" s="471" t="s">
        <v>1293</v>
      </c>
      <c r="D97" s="473"/>
      <c r="E97" s="468" t="s">
        <v>1294</v>
      </c>
      <c r="F97" s="479" t="s">
        <v>221</v>
      </c>
      <c r="G97" s="479" t="s">
        <v>1295</v>
      </c>
    </row>
    <row r="98" spans="1:7">
      <c r="A98" s="471" t="s">
        <v>1210</v>
      </c>
      <c r="B98" s="472" t="s">
        <v>1296</v>
      </c>
      <c r="C98" s="471" t="s">
        <v>1297</v>
      </c>
      <c r="D98" s="473"/>
      <c r="E98" s="468" t="s">
        <v>1298</v>
      </c>
      <c r="F98" s="479" t="s">
        <v>221</v>
      </c>
      <c r="G98" s="478" t="s">
        <v>284</v>
      </c>
    </row>
    <row r="99" spans="1:7">
      <c r="A99" s="471" t="s">
        <v>1210</v>
      </c>
      <c r="B99" s="472" t="s">
        <v>1299</v>
      </c>
      <c r="C99" s="471" t="s">
        <v>1300</v>
      </c>
      <c r="D99" s="473"/>
      <c r="E99" s="468" t="s">
        <v>1301</v>
      </c>
      <c r="F99" s="479" t="s">
        <v>221</v>
      </c>
      <c r="G99" s="477"/>
    </row>
    <row r="100" spans="1:7">
      <c r="A100" s="471" t="s">
        <v>1210</v>
      </c>
      <c r="B100" s="472" t="s">
        <v>1302</v>
      </c>
      <c r="C100" s="471" t="s">
        <v>1303</v>
      </c>
      <c r="D100" s="473"/>
      <c r="E100" s="468" t="s">
        <v>1304</v>
      </c>
      <c r="F100" s="479" t="s">
        <v>1029</v>
      </c>
      <c r="G100" s="477"/>
    </row>
    <row r="101" spans="1:7">
      <c r="A101" s="471" t="s">
        <v>1210</v>
      </c>
      <c r="B101" s="472" t="s">
        <v>1305</v>
      </c>
      <c r="C101" s="471" t="s">
        <v>1306</v>
      </c>
      <c r="D101" s="473"/>
      <c r="E101" s="468" t="s">
        <v>1307</v>
      </c>
      <c r="F101" s="479" t="s">
        <v>221</v>
      </c>
      <c r="G101" s="477"/>
    </row>
    <row r="102" spans="1:7">
      <c r="A102" s="471" t="s">
        <v>1210</v>
      </c>
      <c r="B102" s="472" t="s">
        <v>1061</v>
      </c>
      <c r="C102" s="471" t="s">
        <v>1062</v>
      </c>
      <c r="D102" s="473" t="s">
        <v>1027</v>
      </c>
      <c r="E102" s="468" t="s">
        <v>1308</v>
      </c>
      <c r="F102" s="474" t="s">
        <v>1029</v>
      </c>
      <c r="G102" s="477"/>
    </row>
    <row r="103" spans="1:7">
      <c r="A103" s="471" t="s">
        <v>1210</v>
      </c>
      <c r="B103" s="472" t="s">
        <v>1309</v>
      </c>
      <c r="C103" s="471" t="s">
        <v>1310</v>
      </c>
      <c r="D103" s="473" t="s">
        <v>1027</v>
      </c>
      <c r="E103" s="468" t="s">
        <v>1311</v>
      </c>
      <c r="F103" s="475" t="s">
        <v>221</v>
      </c>
      <c r="G103" s="475" t="s">
        <v>279</v>
      </c>
    </row>
    <row r="104" spans="1:7">
      <c r="A104" s="471" t="s">
        <v>1210</v>
      </c>
      <c r="B104" s="472" t="s">
        <v>1312</v>
      </c>
      <c r="C104" s="471" t="s">
        <v>1313</v>
      </c>
      <c r="D104" s="473" t="s">
        <v>1027</v>
      </c>
      <c r="E104" s="468" t="s">
        <v>1314</v>
      </c>
      <c r="F104" s="475" t="s">
        <v>221</v>
      </c>
      <c r="G104" s="475" t="s">
        <v>241</v>
      </c>
    </row>
    <row r="105" spans="1:7">
      <c r="A105" s="471" t="s">
        <v>1210</v>
      </c>
      <c r="B105" s="472" t="s">
        <v>1315</v>
      </c>
      <c r="C105" s="471" t="s">
        <v>1316</v>
      </c>
      <c r="D105" s="473" t="s">
        <v>1027</v>
      </c>
      <c r="E105" s="468" t="s">
        <v>1317</v>
      </c>
      <c r="F105" s="475" t="s">
        <v>221</v>
      </c>
      <c r="G105" s="475" t="s">
        <v>279</v>
      </c>
    </row>
    <row r="106" spans="1:7">
      <c r="A106" s="471" t="s">
        <v>1210</v>
      </c>
      <c r="B106" s="472" t="s">
        <v>1318</v>
      </c>
      <c r="C106" s="471" t="s">
        <v>1319</v>
      </c>
      <c r="D106" s="473" t="s">
        <v>1027</v>
      </c>
      <c r="E106" s="468" t="s">
        <v>1320</v>
      </c>
      <c r="F106" s="475" t="s">
        <v>566</v>
      </c>
      <c r="G106" s="484"/>
    </row>
    <row r="107" spans="1:7">
      <c r="A107" s="461" t="s">
        <v>1321</v>
      </c>
      <c r="B107" s="462"/>
      <c r="C107" s="462" t="s">
        <v>1022</v>
      </c>
      <c r="D107" s="463"/>
      <c r="E107" s="468" t="s">
        <v>1322</v>
      </c>
      <c r="F107" s="469"/>
      <c r="G107" s="470"/>
    </row>
    <row r="108" spans="1:7">
      <c r="A108" s="471" t="s">
        <v>1321</v>
      </c>
      <c r="B108" s="472" t="s">
        <v>1030</v>
      </c>
      <c r="C108" s="471" t="s">
        <v>1031</v>
      </c>
      <c r="D108" s="473" t="s">
        <v>1027</v>
      </c>
      <c r="E108" s="468" t="s">
        <v>1323</v>
      </c>
      <c r="F108" s="475" t="s">
        <v>664</v>
      </c>
      <c r="G108" s="477"/>
    </row>
    <row r="109" spans="1:7">
      <c r="A109" s="471" t="s">
        <v>1321</v>
      </c>
      <c r="B109" s="472" t="s">
        <v>1324</v>
      </c>
      <c r="C109" s="471" t="s">
        <v>1325</v>
      </c>
      <c r="D109" s="473" t="s">
        <v>1027</v>
      </c>
      <c r="E109" s="468" t="s">
        <v>1326</v>
      </c>
      <c r="F109" s="475" t="s">
        <v>664</v>
      </c>
      <c r="G109" s="477"/>
    </row>
    <row r="110" spans="1:7">
      <c r="A110" s="471" t="s">
        <v>1321</v>
      </c>
      <c r="B110" s="472" t="s">
        <v>1327</v>
      </c>
      <c r="C110" s="471" t="s">
        <v>1328</v>
      </c>
      <c r="D110" s="473" t="s">
        <v>1027</v>
      </c>
      <c r="E110" s="468" t="s">
        <v>1329</v>
      </c>
      <c r="F110" s="475" t="s">
        <v>664</v>
      </c>
      <c r="G110" s="477"/>
    </row>
    <row r="111" spans="1:7">
      <c r="A111" s="471" t="s">
        <v>1321</v>
      </c>
      <c r="B111" s="472" t="s">
        <v>1330</v>
      </c>
      <c r="C111" s="471" t="s">
        <v>1331</v>
      </c>
      <c r="D111" s="473" t="s">
        <v>1027</v>
      </c>
      <c r="E111" s="468" t="s">
        <v>1332</v>
      </c>
      <c r="F111" s="475" t="s">
        <v>664</v>
      </c>
      <c r="G111" s="477"/>
    </row>
    <row r="112" spans="1:7">
      <c r="A112" s="471" t="s">
        <v>1321</v>
      </c>
      <c r="B112" s="472" t="s">
        <v>1333</v>
      </c>
      <c r="C112" s="471" t="s">
        <v>1334</v>
      </c>
      <c r="D112" s="473" t="s">
        <v>1027</v>
      </c>
      <c r="E112" s="468" t="s">
        <v>1335</v>
      </c>
      <c r="F112" s="475" t="s">
        <v>664</v>
      </c>
      <c r="G112" s="477"/>
    </row>
    <row r="113" spans="1:7">
      <c r="A113" s="471" t="s">
        <v>1321</v>
      </c>
      <c r="B113" s="472" t="s">
        <v>1336</v>
      </c>
      <c r="C113" s="471" t="s">
        <v>1337</v>
      </c>
      <c r="D113" s="473" t="s">
        <v>1027</v>
      </c>
      <c r="E113" s="468" t="s">
        <v>1338</v>
      </c>
      <c r="F113" s="475" t="s">
        <v>664</v>
      </c>
      <c r="G113" s="477"/>
    </row>
    <row r="114" spans="1:7">
      <c r="A114" s="471" t="s">
        <v>1321</v>
      </c>
      <c r="B114" s="472" t="s">
        <v>1339</v>
      </c>
      <c r="C114" s="471" t="s">
        <v>1340</v>
      </c>
      <c r="D114" s="473" t="s">
        <v>1027</v>
      </c>
      <c r="E114" s="468" t="s">
        <v>1341</v>
      </c>
      <c r="F114" s="475" t="s">
        <v>664</v>
      </c>
      <c r="G114" s="477"/>
    </row>
    <row r="115" spans="1:7">
      <c r="A115" s="471" t="s">
        <v>1321</v>
      </c>
      <c r="B115" s="472" t="s">
        <v>1342</v>
      </c>
      <c r="C115" s="471" t="s">
        <v>1343</v>
      </c>
      <c r="D115" s="473" t="s">
        <v>1027</v>
      </c>
      <c r="E115" s="468" t="s">
        <v>1344</v>
      </c>
      <c r="F115" s="479" t="s">
        <v>1029</v>
      </c>
      <c r="G115" s="477"/>
    </row>
    <row r="116" spans="1:7">
      <c r="A116" s="471" t="s">
        <v>1321</v>
      </c>
      <c r="B116" s="472" t="s">
        <v>1345</v>
      </c>
      <c r="C116" s="471" t="s">
        <v>1346</v>
      </c>
      <c r="D116" s="473" t="s">
        <v>1027</v>
      </c>
      <c r="E116" s="468" t="s">
        <v>1347</v>
      </c>
      <c r="F116" s="475" t="s">
        <v>664</v>
      </c>
      <c r="G116" s="477"/>
    </row>
    <row r="117" spans="1:7">
      <c r="A117" s="471" t="s">
        <v>1321</v>
      </c>
      <c r="B117" s="472" t="s">
        <v>1348</v>
      </c>
      <c r="C117" s="471" t="s">
        <v>1349</v>
      </c>
      <c r="D117" s="473" t="s">
        <v>1027</v>
      </c>
      <c r="E117" s="468" t="s">
        <v>1350</v>
      </c>
      <c r="F117" s="475" t="s">
        <v>664</v>
      </c>
      <c r="G117" s="477"/>
    </row>
    <row r="118" spans="1:7">
      <c r="A118" s="471" t="s">
        <v>1321</v>
      </c>
      <c r="B118" s="472" t="s">
        <v>1351</v>
      </c>
      <c r="C118" s="471" t="s">
        <v>1352</v>
      </c>
      <c r="D118" s="473" t="s">
        <v>1027</v>
      </c>
      <c r="E118" s="468" t="s">
        <v>1353</v>
      </c>
      <c r="F118" s="474" t="s">
        <v>1354</v>
      </c>
      <c r="G118" s="474" t="s">
        <v>1355</v>
      </c>
    </row>
    <row r="119" spans="1:7">
      <c r="A119" s="471" t="s">
        <v>1321</v>
      </c>
      <c r="B119" s="472" t="s">
        <v>1356</v>
      </c>
      <c r="C119" s="471" t="s">
        <v>1357</v>
      </c>
      <c r="D119" s="473" t="s">
        <v>1027</v>
      </c>
      <c r="E119" s="468" t="s">
        <v>1358</v>
      </c>
      <c r="F119" s="475" t="s">
        <v>664</v>
      </c>
      <c r="G119" s="477"/>
    </row>
    <row r="120" spans="1:7">
      <c r="A120" s="471" t="s">
        <v>1321</v>
      </c>
      <c r="B120" s="472" t="s">
        <v>1359</v>
      </c>
      <c r="C120" s="471" t="s">
        <v>1360</v>
      </c>
      <c r="D120" s="473" t="s">
        <v>1027</v>
      </c>
      <c r="E120" s="468" t="s">
        <v>1361</v>
      </c>
      <c r="F120" s="475" t="s">
        <v>664</v>
      </c>
      <c r="G120" s="477"/>
    </row>
    <row r="121" spans="1:7">
      <c r="A121" s="471" t="s">
        <v>1321</v>
      </c>
      <c r="B121" s="472" t="s">
        <v>1362</v>
      </c>
      <c r="C121" s="471" t="s">
        <v>1363</v>
      </c>
      <c r="D121" s="473" t="s">
        <v>1027</v>
      </c>
      <c r="E121" s="468" t="s">
        <v>1364</v>
      </c>
      <c r="F121" s="475" t="s">
        <v>664</v>
      </c>
      <c r="G121" s="477"/>
    </row>
    <row r="122" spans="1:7">
      <c r="A122" s="471" t="s">
        <v>1321</v>
      </c>
      <c r="B122" s="472" t="s">
        <v>1365</v>
      </c>
      <c r="C122" s="471" t="s">
        <v>1366</v>
      </c>
      <c r="D122" s="473" t="s">
        <v>1027</v>
      </c>
      <c r="E122" s="468" t="s">
        <v>1367</v>
      </c>
      <c r="F122" s="475" t="s">
        <v>664</v>
      </c>
      <c r="G122" s="477"/>
    </row>
    <row r="123" spans="1:7">
      <c r="A123" s="471" t="s">
        <v>1321</v>
      </c>
      <c r="B123" s="472" t="s">
        <v>1368</v>
      </c>
      <c r="C123" s="471" t="s">
        <v>1369</v>
      </c>
      <c r="D123" s="473" t="s">
        <v>1027</v>
      </c>
      <c r="E123" s="468" t="s">
        <v>1370</v>
      </c>
      <c r="F123" s="475" t="s">
        <v>664</v>
      </c>
      <c r="G123" s="477"/>
    </row>
    <row r="124" spans="1:7">
      <c r="A124" s="471" t="s">
        <v>1321</v>
      </c>
      <c r="B124" s="472" t="s">
        <v>1371</v>
      </c>
      <c r="C124" s="471" t="s">
        <v>1372</v>
      </c>
      <c r="D124" s="473" t="s">
        <v>1027</v>
      </c>
      <c r="E124" s="468" t="s">
        <v>1373</v>
      </c>
      <c r="F124" s="475" t="s">
        <v>664</v>
      </c>
      <c r="G124" s="477"/>
    </row>
    <row r="125" spans="1:7">
      <c r="A125" s="471" t="s">
        <v>1321</v>
      </c>
      <c r="B125" s="472" t="s">
        <v>1374</v>
      </c>
      <c r="C125" s="471" t="s">
        <v>1375</v>
      </c>
      <c r="D125" s="473" t="s">
        <v>1027</v>
      </c>
      <c r="E125" s="468" t="s">
        <v>1376</v>
      </c>
      <c r="F125" s="475" t="s">
        <v>664</v>
      </c>
      <c r="G125" s="477"/>
    </row>
    <row r="126" spans="1:7">
      <c r="A126" s="471" t="s">
        <v>1321</v>
      </c>
      <c r="B126" s="472" t="s">
        <v>1377</v>
      </c>
      <c r="C126" s="471" t="s">
        <v>1378</v>
      </c>
      <c r="D126" s="473" t="s">
        <v>1027</v>
      </c>
      <c r="E126" s="468" t="s">
        <v>1379</v>
      </c>
      <c r="F126" s="474" t="s">
        <v>221</v>
      </c>
      <c r="G126" s="474" t="s">
        <v>1380</v>
      </c>
    </row>
    <row r="127" spans="1:7">
      <c r="A127" s="471" t="s">
        <v>1321</v>
      </c>
      <c r="B127" s="472" t="s">
        <v>1381</v>
      </c>
      <c r="C127" s="471" t="s">
        <v>1382</v>
      </c>
      <c r="D127" s="473" t="s">
        <v>1027</v>
      </c>
      <c r="E127" s="468" t="s">
        <v>1383</v>
      </c>
      <c r="F127" s="475" t="s">
        <v>489</v>
      </c>
      <c r="G127" s="477"/>
    </row>
    <row r="128" spans="1:7">
      <c r="A128" s="471" t="s">
        <v>1321</v>
      </c>
      <c r="B128" s="472" t="s">
        <v>1384</v>
      </c>
      <c r="C128" s="471" t="s">
        <v>1385</v>
      </c>
      <c r="D128" s="473" t="s">
        <v>1027</v>
      </c>
      <c r="E128" s="468" t="s">
        <v>1386</v>
      </c>
      <c r="F128" s="475" t="s">
        <v>626</v>
      </c>
      <c r="G128" s="475" t="s">
        <v>1387</v>
      </c>
    </row>
    <row r="129" spans="1:7">
      <c r="A129" s="471" t="s">
        <v>1321</v>
      </c>
      <c r="B129" s="472" t="s">
        <v>1061</v>
      </c>
      <c r="C129" s="471" t="s">
        <v>1062</v>
      </c>
      <c r="D129" s="473" t="s">
        <v>1027</v>
      </c>
      <c r="E129" s="468" t="s">
        <v>1388</v>
      </c>
      <c r="F129" s="475" t="s">
        <v>664</v>
      </c>
      <c r="G129" s="477"/>
    </row>
    <row r="130" spans="1:7">
      <c r="A130" s="471" t="s">
        <v>1321</v>
      </c>
      <c r="B130" s="472" t="s">
        <v>1389</v>
      </c>
      <c r="C130" s="471" t="s">
        <v>1390</v>
      </c>
      <c r="D130" s="473" t="s">
        <v>1027</v>
      </c>
      <c r="E130" s="468" t="s">
        <v>1391</v>
      </c>
      <c r="F130" s="474" t="s">
        <v>280</v>
      </c>
      <c r="G130" s="474" t="s">
        <v>1392</v>
      </c>
    </row>
    <row r="131" spans="1:7">
      <c r="A131" s="461" t="s">
        <v>1393</v>
      </c>
      <c r="B131" s="462"/>
      <c r="C131" s="462" t="s">
        <v>1022</v>
      </c>
      <c r="D131" s="463"/>
      <c r="E131" s="468" t="s">
        <v>1394</v>
      </c>
      <c r="F131" s="469"/>
      <c r="G131" s="470"/>
    </row>
    <row r="132" spans="1:7">
      <c r="A132" s="471" t="s">
        <v>1393</v>
      </c>
      <c r="B132" s="472" t="s">
        <v>1025</v>
      </c>
      <c r="C132" s="471" t="s">
        <v>1026</v>
      </c>
      <c r="D132" s="473"/>
      <c r="E132" s="468" t="s">
        <v>1395</v>
      </c>
      <c r="F132" s="474" t="s">
        <v>1029</v>
      </c>
      <c r="G132" s="477"/>
    </row>
    <row r="133" spans="1:7">
      <c r="A133" s="471" t="s">
        <v>1393</v>
      </c>
      <c r="B133" s="472" t="s">
        <v>1030</v>
      </c>
      <c r="C133" s="471" t="s">
        <v>1031</v>
      </c>
      <c r="D133" s="473"/>
      <c r="E133" s="468" t="s">
        <v>1396</v>
      </c>
      <c r="F133" s="479" t="s">
        <v>343</v>
      </c>
      <c r="G133" s="477"/>
    </row>
    <row r="134" spans="1:7">
      <c r="A134" s="471" t="s">
        <v>1393</v>
      </c>
      <c r="B134" s="472" t="s">
        <v>1397</v>
      </c>
      <c r="C134" s="471" t="s">
        <v>1398</v>
      </c>
      <c r="D134" s="473"/>
      <c r="E134" s="468" t="s">
        <v>1399</v>
      </c>
      <c r="F134" s="479" t="s">
        <v>343</v>
      </c>
      <c r="G134" s="477"/>
    </row>
    <row r="135" spans="1:7">
      <c r="A135" s="471" t="s">
        <v>1393</v>
      </c>
      <c r="B135" s="472" t="s">
        <v>1061</v>
      </c>
      <c r="C135" s="471" t="s">
        <v>1062</v>
      </c>
      <c r="D135" s="473" t="s">
        <v>1027</v>
      </c>
      <c r="E135" s="468" t="s">
        <v>1400</v>
      </c>
      <c r="F135" s="475" t="s">
        <v>343</v>
      </c>
      <c r="G135" s="477"/>
    </row>
    <row r="136" spans="1:7">
      <c r="A136" s="471" t="s">
        <v>1393</v>
      </c>
      <c r="B136" s="472" t="s">
        <v>1401</v>
      </c>
      <c r="C136" s="471" t="s">
        <v>1402</v>
      </c>
      <c r="D136" s="473" t="s">
        <v>1027</v>
      </c>
      <c r="E136" s="468" t="s">
        <v>1403</v>
      </c>
      <c r="F136" s="475" t="s">
        <v>748</v>
      </c>
      <c r="G136" s="475" t="s">
        <v>1404</v>
      </c>
    </row>
    <row r="137" spans="1:7">
      <c r="A137" s="471" t="s">
        <v>1393</v>
      </c>
      <c r="B137" s="472" t="s">
        <v>1405</v>
      </c>
      <c r="C137" s="471" t="s">
        <v>1406</v>
      </c>
      <c r="D137" s="473" t="s">
        <v>1027</v>
      </c>
      <c r="E137" s="468" t="s">
        <v>1407</v>
      </c>
      <c r="F137" s="475" t="s">
        <v>748</v>
      </c>
      <c r="G137" s="475" t="s">
        <v>750</v>
      </c>
    </row>
    <row r="138" spans="1:7">
      <c r="A138" s="471" t="s">
        <v>1393</v>
      </c>
      <c r="B138" s="472" t="s">
        <v>1408</v>
      </c>
      <c r="C138" s="471" t="s">
        <v>1409</v>
      </c>
      <c r="D138" s="473"/>
      <c r="E138" s="468" t="s">
        <v>1410</v>
      </c>
      <c r="F138" s="479" t="s">
        <v>1029</v>
      </c>
      <c r="G138" s="477"/>
    </row>
    <row r="139" spans="1:7">
      <c r="A139" s="471" t="s">
        <v>1393</v>
      </c>
      <c r="B139" s="472" t="s">
        <v>1411</v>
      </c>
      <c r="C139" s="471" t="s">
        <v>1412</v>
      </c>
      <c r="D139" s="473"/>
      <c r="E139" s="468" t="s">
        <v>1413</v>
      </c>
      <c r="F139" s="479" t="s">
        <v>343</v>
      </c>
      <c r="G139" s="477"/>
    </row>
    <row r="140" spans="1:7">
      <c r="A140" s="471" t="s">
        <v>1393</v>
      </c>
      <c r="B140" s="472" t="s">
        <v>1414</v>
      </c>
      <c r="C140" s="471" t="s">
        <v>1415</v>
      </c>
      <c r="D140" s="473" t="s">
        <v>1027</v>
      </c>
      <c r="E140" s="468" t="s">
        <v>1416</v>
      </c>
      <c r="F140" s="475" t="s">
        <v>748</v>
      </c>
      <c r="G140" s="475" t="s">
        <v>1404</v>
      </c>
    </row>
    <row r="141" spans="1:7">
      <c r="A141" s="471" t="s">
        <v>1393</v>
      </c>
      <c r="B141" s="472" t="s">
        <v>1417</v>
      </c>
      <c r="C141" s="471" t="s">
        <v>1418</v>
      </c>
      <c r="D141" s="473" t="s">
        <v>1027</v>
      </c>
      <c r="E141" s="468" t="s">
        <v>1419</v>
      </c>
      <c r="F141" s="475" t="s">
        <v>748</v>
      </c>
      <c r="G141" s="475" t="s">
        <v>750</v>
      </c>
    </row>
    <row r="142" spans="1:7">
      <c r="A142" s="471" t="s">
        <v>1393</v>
      </c>
      <c r="B142" s="472" t="s">
        <v>1420</v>
      </c>
      <c r="C142" s="471" t="s">
        <v>1421</v>
      </c>
      <c r="D142" s="473"/>
      <c r="E142" s="468" t="s">
        <v>1422</v>
      </c>
      <c r="F142" s="479" t="s">
        <v>1029</v>
      </c>
      <c r="G142" s="477"/>
    </row>
    <row r="143" spans="1:7">
      <c r="A143" s="471" t="s">
        <v>1393</v>
      </c>
      <c r="B143" s="472" t="s">
        <v>1423</v>
      </c>
      <c r="C143" s="471" t="s">
        <v>1424</v>
      </c>
      <c r="D143" s="473" t="s">
        <v>1027</v>
      </c>
      <c r="E143" s="468" t="s">
        <v>1425</v>
      </c>
      <c r="F143" s="475" t="s">
        <v>748</v>
      </c>
      <c r="G143" s="475" t="s">
        <v>1404</v>
      </c>
    </row>
    <row r="144" spans="1:7">
      <c r="A144" s="471" t="s">
        <v>1393</v>
      </c>
      <c r="B144" s="472" t="s">
        <v>1426</v>
      </c>
      <c r="C144" s="471" t="s">
        <v>1427</v>
      </c>
      <c r="D144" s="473" t="s">
        <v>1027</v>
      </c>
      <c r="E144" s="468" t="s">
        <v>1428</v>
      </c>
      <c r="F144" s="475" t="s">
        <v>748</v>
      </c>
      <c r="G144" s="475" t="s">
        <v>1404</v>
      </c>
    </row>
    <row r="145" spans="1:7">
      <c r="A145" s="471" t="s">
        <v>1393</v>
      </c>
      <c r="B145" s="472" t="s">
        <v>1429</v>
      </c>
      <c r="C145" s="471" t="s">
        <v>1430</v>
      </c>
      <c r="D145" s="473"/>
      <c r="E145" s="468" t="s">
        <v>1431</v>
      </c>
      <c r="F145" s="479" t="s">
        <v>1029</v>
      </c>
      <c r="G145" s="468"/>
    </row>
    <row r="146" spans="1:7">
      <c r="A146" s="471" t="s">
        <v>1393</v>
      </c>
      <c r="B146" s="472" t="s">
        <v>1432</v>
      </c>
      <c r="C146" s="471" t="s">
        <v>1433</v>
      </c>
      <c r="D146" s="473" t="s">
        <v>1027</v>
      </c>
      <c r="E146" s="468" t="s">
        <v>1434</v>
      </c>
      <c r="F146" s="475" t="s">
        <v>748</v>
      </c>
      <c r="G146" s="475" t="s">
        <v>750</v>
      </c>
    </row>
    <row r="147" spans="1:7">
      <c r="A147" s="471" t="s">
        <v>1393</v>
      </c>
      <c r="B147" s="472" t="s">
        <v>1207</v>
      </c>
      <c r="C147" s="471" t="s">
        <v>1435</v>
      </c>
      <c r="D147" s="473"/>
      <c r="E147" s="468" t="s">
        <v>1436</v>
      </c>
      <c r="F147" s="476" t="s">
        <v>1029</v>
      </c>
      <c r="G147" s="468"/>
    </row>
    <row r="148" spans="1:7">
      <c r="A148" s="471" t="s">
        <v>1393</v>
      </c>
      <c r="B148" s="472" t="s">
        <v>1437</v>
      </c>
      <c r="C148" s="471" t="s">
        <v>1438</v>
      </c>
      <c r="D148" s="473" t="s">
        <v>1027</v>
      </c>
      <c r="E148" s="468" t="s">
        <v>1439</v>
      </c>
      <c r="F148" s="475" t="s">
        <v>343</v>
      </c>
      <c r="G148" s="475" t="s">
        <v>352</v>
      </c>
    </row>
    <row r="149" spans="1:7">
      <c r="A149" s="471" t="s">
        <v>1393</v>
      </c>
      <c r="B149" s="472" t="s">
        <v>1440</v>
      </c>
      <c r="C149" s="471" t="s">
        <v>1441</v>
      </c>
      <c r="D149" s="473" t="s">
        <v>1027</v>
      </c>
      <c r="E149" s="468" t="s">
        <v>1442</v>
      </c>
      <c r="F149" s="475" t="s">
        <v>343</v>
      </c>
      <c r="G149" s="475" t="s">
        <v>352</v>
      </c>
    </row>
    <row r="150" spans="1:7">
      <c r="A150" s="471" t="s">
        <v>1393</v>
      </c>
      <c r="B150" s="472" t="s">
        <v>1443</v>
      </c>
      <c r="C150" s="471" t="s">
        <v>1444</v>
      </c>
      <c r="D150" s="473" t="s">
        <v>1027</v>
      </c>
      <c r="E150" s="468" t="s">
        <v>1445</v>
      </c>
      <c r="F150" s="475" t="s">
        <v>343</v>
      </c>
      <c r="G150" s="475" t="s">
        <v>352</v>
      </c>
    </row>
    <row r="151" spans="1:7">
      <c r="A151" s="471" t="s">
        <v>1393</v>
      </c>
      <c r="B151" s="472" t="s">
        <v>1446</v>
      </c>
      <c r="C151" s="471" t="s">
        <v>1447</v>
      </c>
      <c r="D151" s="473" t="s">
        <v>1027</v>
      </c>
      <c r="E151" s="468" t="s">
        <v>1448</v>
      </c>
      <c r="F151" s="475" t="s">
        <v>343</v>
      </c>
      <c r="G151" s="475" t="s">
        <v>352</v>
      </c>
    </row>
    <row r="152" spans="1:7">
      <c r="A152" s="471" t="s">
        <v>1393</v>
      </c>
      <c r="B152" s="472" t="s">
        <v>1449</v>
      </c>
      <c r="C152" s="471" t="s">
        <v>1450</v>
      </c>
      <c r="D152" s="473" t="s">
        <v>1027</v>
      </c>
      <c r="E152" s="468" t="s">
        <v>1451</v>
      </c>
      <c r="F152" s="475" t="s">
        <v>343</v>
      </c>
      <c r="G152" s="475" t="s">
        <v>352</v>
      </c>
    </row>
    <row r="153" spans="1:7">
      <c r="A153" s="471" t="s">
        <v>1393</v>
      </c>
      <c r="B153" s="472" t="s">
        <v>1452</v>
      </c>
      <c r="C153" s="471" t="s">
        <v>1453</v>
      </c>
      <c r="D153" s="473" t="s">
        <v>1027</v>
      </c>
      <c r="E153" s="468" t="s">
        <v>1454</v>
      </c>
      <c r="F153" s="475" t="s">
        <v>343</v>
      </c>
      <c r="G153" s="475" t="s">
        <v>352</v>
      </c>
    </row>
    <row r="154" spans="1:7">
      <c r="A154" s="471" t="s">
        <v>1393</v>
      </c>
      <c r="B154" s="472" t="s">
        <v>1455</v>
      </c>
      <c r="C154" s="471" t="s">
        <v>1456</v>
      </c>
      <c r="D154" s="473" t="s">
        <v>1027</v>
      </c>
      <c r="E154" s="468" t="s">
        <v>1457</v>
      </c>
      <c r="F154" s="475" t="s">
        <v>343</v>
      </c>
      <c r="G154" s="475" t="s">
        <v>352</v>
      </c>
    </row>
    <row r="155" spans="1:7">
      <c r="A155" s="471" t="s">
        <v>1393</v>
      </c>
      <c r="B155" s="472" t="s">
        <v>1458</v>
      </c>
      <c r="C155" s="471" t="s">
        <v>1459</v>
      </c>
      <c r="D155" s="473" t="s">
        <v>1027</v>
      </c>
      <c r="E155" s="468" t="s">
        <v>1460</v>
      </c>
      <c r="F155" s="475" t="s">
        <v>343</v>
      </c>
      <c r="G155" s="475" t="s">
        <v>352</v>
      </c>
    </row>
    <row r="156" spans="1:7">
      <c r="A156" s="471" t="s">
        <v>1393</v>
      </c>
      <c r="B156" s="472" t="s">
        <v>1461</v>
      </c>
      <c r="C156" s="471" t="s">
        <v>1462</v>
      </c>
      <c r="D156" s="473" t="s">
        <v>1027</v>
      </c>
      <c r="E156" s="468" t="s">
        <v>1463</v>
      </c>
      <c r="F156" s="475" t="s">
        <v>343</v>
      </c>
      <c r="G156" s="475" t="s">
        <v>352</v>
      </c>
    </row>
    <row r="157" spans="1:7">
      <c r="A157" s="471" t="s">
        <v>1393</v>
      </c>
      <c r="B157" s="472" t="s">
        <v>1464</v>
      </c>
      <c r="C157" s="471" t="s">
        <v>1465</v>
      </c>
      <c r="D157" s="473" t="s">
        <v>1027</v>
      </c>
      <c r="E157" s="468" t="s">
        <v>1466</v>
      </c>
      <c r="F157" s="479" t="s">
        <v>1029</v>
      </c>
      <c r="G157" s="475"/>
    </row>
    <row r="158" spans="1:7">
      <c r="A158" s="471" t="s">
        <v>1393</v>
      </c>
      <c r="B158" s="472" t="s">
        <v>1086</v>
      </c>
      <c r="C158" s="471" t="s">
        <v>1087</v>
      </c>
      <c r="D158" s="473" t="s">
        <v>1027</v>
      </c>
      <c r="E158" s="468" t="s">
        <v>1467</v>
      </c>
      <c r="F158" s="475" t="s">
        <v>343</v>
      </c>
      <c r="G158" s="475" t="s">
        <v>352</v>
      </c>
    </row>
    <row r="159" spans="1:7">
      <c r="A159" s="471" t="s">
        <v>1393</v>
      </c>
      <c r="B159" s="472" t="s">
        <v>1468</v>
      </c>
      <c r="C159" s="471" t="s">
        <v>1469</v>
      </c>
      <c r="D159" s="473" t="s">
        <v>1027</v>
      </c>
      <c r="E159" s="468" t="s">
        <v>1470</v>
      </c>
      <c r="F159" s="475" t="s">
        <v>343</v>
      </c>
      <c r="G159" s="475" t="s">
        <v>346</v>
      </c>
    </row>
    <row r="160" spans="1:7">
      <c r="A160" s="471" t="s">
        <v>1393</v>
      </c>
      <c r="B160" s="472" t="s">
        <v>1471</v>
      </c>
      <c r="C160" s="471" t="s">
        <v>1472</v>
      </c>
      <c r="D160" s="473" t="s">
        <v>1027</v>
      </c>
      <c r="E160" s="468" t="s">
        <v>1473</v>
      </c>
      <c r="F160" s="475" t="s">
        <v>343</v>
      </c>
      <c r="G160" s="475" t="s">
        <v>346</v>
      </c>
    </row>
    <row r="161" spans="1:7">
      <c r="A161" s="471" t="s">
        <v>1393</v>
      </c>
      <c r="B161" s="472" t="s">
        <v>1474</v>
      </c>
      <c r="C161" s="471" t="s">
        <v>1475</v>
      </c>
      <c r="D161" s="473" t="s">
        <v>1027</v>
      </c>
      <c r="E161" s="468" t="s">
        <v>1476</v>
      </c>
      <c r="F161" s="475" t="s">
        <v>343</v>
      </c>
      <c r="G161" s="475" t="s">
        <v>346</v>
      </c>
    </row>
    <row r="162" spans="1:7">
      <c r="A162" s="471" t="s">
        <v>1393</v>
      </c>
      <c r="B162" s="472" t="s">
        <v>1477</v>
      </c>
      <c r="C162" s="471" t="s">
        <v>1478</v>
      </c>
      <c r="D162" s="473" t="s">
        <v>1027</v>
      </c>
      <c r="E162" s="468" t="s">
        <v>1479</v>
      </c>
      <c r="F162" s="475" t="s">
        <v>343</v>
      </c>
      <c r="G162" s="475" t="s">
        <v>346</v>
      </c>
    </row>
    <row r="163" spans="1:7">
      <c r="A163" s="471" t="s">
        <v>1393</v>
      </c>
      <c r="B163" s="472" t="s">
        <v>1480</v>
      </c>
      <c r="C163" s="471" t="s">
        <v>1481</v>
      </c>
      <c r="D163" s="473" t="s">
        <v>1027</v>
      </c>
      <c r="E163" s="468" t="s">
        <v>1482</v>
      </c>
      <c r="F163" s="475" t="s">
        <v>343</v>
      </c>
      <c r="G163" s="475" t="s">
        <v>346</v>
      </c>
    </row>
    <row r="164" spans="1:7">
      <c r="A164" s="471" t="s">
        <v>1393</v>
      </c>
      <c r="B164" s="472" t="s">
        <v>1483</v>
      </c>
      <c r="C164" s="471" t="s">
        <v>1484</v>
      </c>
      <c r="D164" s="473" t="s">
        <v>1027</v>
      </c>
      <c r="E164" s="468" t="s">
        <v>1485</v>
      </c>
      <c r="F164" s="475" t="s">
        <v>343</v>
      </c>
      <c r="G164" s="475" t="s">
        <v>346</v>
      </c>
    </row>
    <row r="165" spans="1:7">
      <c r="A165" s="471" t="s">
        <v>1393</v>
      </c>
      <c r="B165" s="472" t="s">
        <v>1486</v>
      </c>
      <c r="C165" s="471" t="s">
        <v>1487</v>
      </c>
      <c r="D165" s="473" t="s">
        <v>1027</v>
      </c>
      <c r="E165" s="468" t="s">
        <v>1488</v>
      </c>
      <c r="F165" s="475" t="s">
        <v>343</v>
      </c>
      <c r="G165" s="475" t="s">
        <v>346</v>
      </c>
    </row>
    <row r="166" spans="1:7">
      <c r="A166" s="471" t="s">
        <v>1393</v>
      </c>
      <c r="B166" s="472" t="s">
        <v>1489</v>
      </c>
      <c r="C166" s="471" t="s">
        <v>1490</v>
      </c>
      <c r="D166" s="473" t="s">
        <v>1027</v>
      </c>
      <c r="E166" s="468" t="s">
        <v>1491</v>
      </c>
      <c r="F166" s="475" t="s">
        <v>343</v>
      </c>
      <c r="G166" s="475" t="s">
        <v>346</v>
      </c>
    </row>
    <row r="167" spans="1:7">
      <c r="A167" s="471" t="s">
        <v>1393</v>
      </c>
      <c r="B167" s="472" t="s">
        <v>1089</v>
      </c>
      <c r="C167" s="471" t="s">
        <v>1090</v>
      </c>
      <c r="D167" s="473" t="s">
        <v>1027</v>
      </c>
      <c r="E167" s="468" t="s">
        <v>1492</v>
      </c>
      <c r="F167" s="475" t="s">
        <v>343</v>
      </c>
      <c r="G167" s="475" t="s">
        <v>346</v>
      </c>
    </row>
    <row r="168" spans="1:7">
      <c r="A168" s="471" t="s">
        <v>1393</v>
      </c>
      <c r="B168" s="472" t="s">
        <v>1493</v>
      </c>
      <c r="C168" s="471" t="s">
        <v>1494</v>
      </c>
      <c r="D168" s="473" t="s">
        <v>1027</v>
      </c>
      <c r="E168" s="468" t="s">
        <v>1495</v>
      </c>
      <c r="F168" s="479" t="s">
        <v>1029</v>
      </c>
      <c r="G168" s="475"/>
    </row>
    <row r="169" spans="1:7">
      <c r="A169" s="471" t="s">
        <v>1393</v>
      </c>
      <c r="B169" s="472" t="s">
        <v>1496</v>
      </c>
      <c r="C169" s="471" t="s">
        <v>1497</v>
      </c>
      <c r="D169" s="473" t="s">
        <v>1027</v>
      </c>
      <c r="E169" s="468" t="s">
        <v>1498</v>
      </c>
      <c r="F169" s="475" t="s">
        <v>343</v>
      </c>
      <c r="G169" s="475" t="s">
        <v>346</v>
      </c>
    </row>
    <row r="170" spans="1:7">
      <c r="A170" s="471" t="s">
        <v>1393</v>
      </c>
      <c r="B170" s="472" t="s">
        <v>1499</v>
      </c>
      <c r="C170" s="471" t="s">
        <v>1500</v>
      </c>
      <c r="D170" s="473" t="s">
        <v>1027</v>
      </c>
      <c r="E170" s="468" t="s">
        <v>1501</v>
      </c>
      <c r="F170" s="475" t="s">
        <v>343</v>
      </c>
      <c r="G170" s="475" t="s">
        <v>350</v>
      </c>
    </row>
    <row r="171" spans="1:7">
      <c r="A171" s="471" t="s">
        <v>1393</v>
      </c>
      <c r="B171" s="472" t="s">
        <v>1502</v>
      </c>
      <c r="C171" s="471" t="s">
        <v>1503</v>
      </c>
      <c r="D171" s="473" t="s">
        <v>1027</v>
      </c>
      <c r="E171" s="468" t="s">
        <v>1504</v>
      </c>
      <c r="F171" s="475" t="s">
        <v>343</v>
      </c>
      <c r="G171" s="475" t="s">
        <v>350</v>
      </c>
    </row>
    <row r="172" spans="1:7">
      <c r="A172" s="471" t="s">
        <v>1393</v>
      </c>
      <c r="B172" s="472" t="s">
        <v>1505</v>
      </c>
      <c r="C172" s="471" t="s">
        <v>1506</v>
      </c>
      <c r="D172" s="473" t="s">
        <v>1027</v>
      </c>
      <c r="E172" s="468" t="s">
        <v>1507</v>
      </c>
      <c r="F172" s="475" t="s">
        <v>343</v>
      </c>
      <c r="G172" s="475" t="s">
        <v>350</v>
      </c>
    </row>
    <row r="173" spans="1:7">
      <c r="A173" s="471" t="s">
        <v>1393</v>
      </c>
      <c r="B173" s="472" t="s">
        <v>1508</v>
      </c>
      <c r="C173" s="471" t="s">
        <v>1509</v>
      </c>
      <c r="D173" s="473" t="s">
        <v>1027</v>
      </c>
      <c r="E173" s="468" t="s">
        <v>1510</v>
      </c>
      <c r="F173" s="475" t="s">
        <v>343</v>
      </c>
      <c r="G173" s="475" t="s">
        <v>350</v>
      </c>
    </row>
    <row r="174" spans="1:7">
      <c r="A174" s="471" t="s">
        <v>1393</v>
      </c>
      <c r="B174" s="472" t="s">
        <v>1511</v>
      </c>
      <c r="C174" s="471" t="s">
        <v>1512</v>
      </c>
      <c r="D174" s="473" t="s">
        <v>1027</v>
      </c>
      <c r="E174" s="468" t="s">
        <v>1513</v>
      </c>
      <c r="F174" s="475" t="s">
        <v>343</v>
      </c>
      <c r="G174" s="475" t="s">
        <v>350</v>
      </c>
    </row>
    <row r="175" spans="1:7">
      <c r="A175" s="471" t="s">
        <v>1393</v>
      </c>
      <c r="B175" s="472" t="s">
        <v>1514</v>
      </c>
      <c r="C175" s="471" t="s">
        <v>1515</v>
      </c>
      <c r="D175" s="473" t="s">
        <v>1027</v>
      </c>
      <c r="E175" s="468" t="s">
        <v>1516</v>
      </c>
      <c r="F175" s="475" t="s">
        <v>343</v>
      </c>
      <c r="G175" s="475" t="s">
        <v>350</v>
      </c>
    </row>
    <row r="176" spans="1:7">
      <c r="A176" s="471" t="s">
        <v>1393</v>
      </c>
      <c r="B176" s="472" t="s">
        <v>1517</v>
      </c>
      <c r="C176" s="471" t="s">
        <v>1518</v>
      </c>
      <c r="D176" s="473" t="s">
        <v>1027</v>
      </c>
      <c r="E176" s="468" t="s">
        <v>1519</v>
      </c>
      <c r="F176" s="475" t="s">
        <v>343</v>
      </c>
      <c r="G176" s="475" t="s">
        <v>350</v>
      </c>
    </row>
    <row r="177" spans="1:7">
      <c r="A177" s="471" t="s">
        <v>1393</v>
      </c>
      <c r="B177" s="472" t="s">
        <v>1520</v>
      </c>
      <c r="C177" s="471" t="s">
        <v>1521</v>
      </c>
      <c r="D177" s="473" t="s">
        <v>1027</v>
      </c>
      <c r="E177" s="468" t="s">
        <v>1522</v>
      </c>
      <c r="F177" s="479" t="s">
        <v>1029</v>
      </c>
      <c r="G177" s="475"/>
    </row>
    <row r="178" spans="1:7">
      <c r="A178" s="471" t="s">
        <v>1393</v>
      </c>
      <c r="B178" s="472" t="s">
        <v>1523</v>
      </c>
      <c r="C178" s="471" t="s">
        <v>1524</v>
      </c>
      <c r="D178" s="473" t="s">
        <v>1027</v>
      </c>
      <c r="E178" s="468" t="s">
        <v>1525</v>
      </c>
      <c r="F178" s="475" t="s">
        <v>343</v>
      </c>
      <c r="G178" s="475" t="s">
        <v>350</v>
      </c>
    </row>
    <row r="179" spans="1:7">
      <c r="A179" s="471" t="s">
        <v>1393</v>
      </c>
      <c r="B179" s="482" t="s">
        <v>1526</v>
      </c>
      <c r="C179" s="483" t="s">
        <v>1527</v>
      </c>
      <c r="D179" s="473"/>
      <c r="E179" s="468" t="s">
        <v>1528</v>
      </c>
      <c r="F179" s="474" t="s">
        <v>1029</v>
      </c>
      <c r="G179" s="477"/>
    </row>
    <row r="180" spans="1:7">
      <c r="A180" s="471" t="s">
        <v>1393</v>
      </c>
      <c r="B180" s="472" t="s">
        <v>1207</v>
      </c>
      <c r="C180" s="471" t="s">
        <v>1529</v>
      </c>
      <c r="D180" s="473"/>
      <c r="E180" s="468" t="s">
        <v>1530</v>
      </c>
      <c r="F180" s="474" t="s">
        <v>1029</v>
      </c>
      <c r="G180" s="477"/>
    </row>
    <row r="181" spans="1:7">
      <c r="A181" s="461" t="s">
        <v>1531</v>
      </c>
      <c r="B181" s="462"/>
      <c r="C181" s="462" t="s">
        <v>1022</v>
      </c>
      <c r="D181" s="463"/>
      <c r="E181" s="468" t="s">
        <v>1532</v>
      </c>
      <c r="F181" s="469"/>
      <c r="G181" s="470"/>
    </row>
    <row r="182" spans="1:7">
      <c r="A182" s="471" t="s">
        <v>1531</v>
      </c>
      <c r="B182" s="472" t="s">
        <v>1025</v>
      </c>
      <c r="C182" s="471" t="s">
        <v>1026</v>
      </c>
      <c r="D182" s="473"/>
      <c r="E182" s="468" t="s">
        <v>1533</v>
      </c>
      <c r="F182" s="474" t="s">
        <v>1029</v>
      </c>
      <c r="G182" s="477"/>
    </row>
    <row r="183" spans="1:7">
      <c r="A183" s="471" t="s">
        <v>1531</v>
      </c>
      <c r="B183" s="472" t="s">
        <v>1030</v>
      </c>
      <c r="C183" s="471" t="s">
        <v>1031</v>
      </c>
      <c r="D183" s="473"/>
      <c r="E183" s="468" t="s">
        <v>1534</v>
      </c>
      <c r="F183" s="479" t="s">
        <v>221</v>
      </c>
      <c r="G183" s="477"/>
    </row>
    <row r="184" spans="1:7">
      <c r="A184" s="471" t="s">
        <v>1531</v>
      </c>
      <c r="B184" s="472" t="s">
        <v>1348</v>
      </c>
      <c r="C184" s="471" t="s">
        <v>1349</v>
      </c>
      <c r="D184" s="473"/>
      <c r="E184" s="468" t="s">
        <v>1535</v>
      </c>
      <c r="F184" s="479" t="s">
        <v>1029</v>
      </c>
      <c r="G184" s="477"/>
    </row>
    <row r="185" spans="1:7">
      <c r="A185" s="471" t="s">
        <v>1531</v>
      </c>
      <c r="B185" s="472" t="s">
        <v>1536</v>
      </c>
      <c r="C185" s="471" t="s">
        <v>1537</v>
      </c>
      <c r="D185" s="473"/>
      <c r="E185" s="468" t="s">
        <v>1538</v>
      </c>
      <c r="F185" s="479" t="s">
        <v>1029</v>
      </c>
      <c r="G185" s="477"/>
    </row>
    <row r="186" spans="1:7">
      <c r="A186" s="471" t="s">
        <v>1531</v>
      </c>
      <c r="B186" s="472" t="s">
        <v>1539</v>
      </c>
      <c r="C186" s="471" t="s">
        <v>1540</v>
      </c>
      <c r="D186" s="473"/>
      <c r="E186" s="468" t="s">
        <v>1541</v>
      </c>
      <c r="F186" s="479" t="s">
        <v>1029</v>
      </c>
      <c r="G186" s="477"/>
    </row>
    <row r="187" spans="1:7">
      <c r="A187" s="471" t="s">
        <v>1531</v>
      </c>
      <c r="B187" s="472" t="s">
        <v>1542</v>
      </c>
      <c r="C187" s="471" t="s">
        <v>1543</v>
      </c>
      <c r="D187" s="473"/>
      <c r="E187" s="468" t="s">
        <v>1544</v>
      </c>
      <c r="F187" s="479" t="s">
        <v>1029</v>
      </c>
      <c r="G187" s="477"/>
    </row>
    <row r="188" spans="1:7">
      <c r="A188" s="471" t="s">
        <v>1531</v>
      </c>
      <c r="B188" s="472" t="s">
        <v>1377</v>
      </c>
      <c r="C188" s="471" t="s">
        <v>1378</v>
      </c>
      <c r="D188" s="473" t="s">
        <v>1027</v>
      </c>
      <c r="E188" s="468" t="s">
        <v>1545</v>
      </c>
      <c r="F188" s="475" t="s">
        <v>221</v>
      </c>
      <c r="G188" s="475" t="s">
        <v>1380</v>
      </c>
    </row>
    <row r="189" spans="1:7">
      <c r="A189" s="471" t="s">
        <v>1531</v>
      </c>
      <c r="B189" s="485" t="s">
        <v>1292</v>
      </c>
      <c r="C189" s="471" t="s">
        <v>1293</v>
      </c>
      <c r="D189" s="473" t="s">
        <v>1027</v>
      </c>
      <c r="E189" s="468" t="s">
        <v>1546</v>
      </c>
      <c r="F189" s="475" t="s">
        <v>221</v>
      </c>
      <c r="G189" s="475" t="s">
        <v>1380</v>
      </c>
    </row>
    <row r="190" spans="1:7">
      <c r="A190" s="471" t="s">
        <v>1531</v>
      </c>
      <c r="B190" s="472" t="s">
        <v>1547</v>
      </c>
      <c r="C190" s="471" t="s">
        <v>1548</v>
      </c>
      <c r="D190" s="473" t="s">
        <v>1027</v>
      </c>
      <c r="E190" s="468" t="s">
        <v>1549</v>
      </c>
      <c r="F190" s="479" t="s">
        <v>1029</v>
      </c>
      <c r="G190" s="475"/>
    </row>
    <row r="191" spans="1:7">
      <c r="A191" s="471" t="s">
        <v>1531</v>
      </c>
      <c r="B191" s="485" t="s">
        <v>1550</v>
      </c>
      <c r="C191" s="471" t="s">
        <v>1551</v>
      </c>
      <c r="D191" s="473" t="s">
        <v>1027</v>
      </c>
      <c r="E191" s="468" t="s">
        <v>1552</v>
      </c>
      <c r="F191" s="475" t="s">
        <v>221</v>
      </c>
      <c r="G191" s="475" t="s">
        <v>1380</v>
      </c>
    </row>
    <row r="192" spans="1:7">
      <c r="A192" s="471" t="s">
        <v>1531</v>
      </c>
      <c r="B192" s="472" t="s">
        <v>1553</v>
      </c>
      <c r="C192" s="471" t="s">
        <v>1554</v>
      </c>
      <c r="D192" s="473" t="s">
        <v>1027</v>
      </c>
      <c r="E192" s="468" t="s">
        <v>1555</v>
      </c>
      <c r="F192" s="475" t="s">
        <v>221</v>
      </c>
      <c r="G192" s="475" t="s">
        <v>1380</v>
      </c>
    </row>
    <row r="193" spans="1:7">
      <c r="A193" s="471" t="s">
        <v>1531</v>
      </c>
      <c r="B193" s="472" t="s">
        <v>1556</v>
      </c>
      <c r="C193" s="471" t="s">
        <v>1557</v>
      </c>
      <c r="D193" s="473" t="s">
        <v>1027</v>
      </c>
      <c r="E193" s="468" t="s">
        <v>1558</v>
      </c>
      <c r="F193" s="475" t="s">
        <v>221</v>
      </c>
      <c r="G193" s="475" t="s">
        <v>1380</v>
      </c>
    </row>
    <row r="194" spans="1:7">
      <c r="A194" s="471" t="s">
        <v>1531</v>
      </c>
      <c r="B194" s="472" t="s">
        <v>1559</v>
      </c>
      <c r="C194" s="471" t="s">
        <v>1560</v>
      </c>
      <c r="D194" s="473"/>
      <c r="E194" s="468" t="s">
        <v>1561</v>
      </c>
      <c r="F194" s="479" t="s">
        <v>1029</v>
      </c>
      <c r="G194" s="477"/>
    </row>
    <row r="195" spans="1:7">
      <c r="A195" s="471" t="s">
        <v>1531</v>
      </c>
      <c r="B195" s="472" t="s">
        <v>1562</v>
      </c>
      <c r="C195" s="471" t="s">
        <v>1563</v>
      </c>
      <c r="D195" s="473"/>
      <c r="E195" s="468" t="s">
        <v>1564</v>
      </c>
      <c r="F195" s="479" t="s">
        <v>1029</v>
      </c>
      <c r="G195" s="477"/>
    </row>
    <row r="196" spans="1:7">
      <c r="A196" s="471" t="s">
        <v>1531</v>
      </c>
      <c r="B196" s="472" t="s">
        <v>1565</v>
      </c>
      <c r="C196" s="471" t="s">
        <v>1566</v>
      </c>
      <c r="D196" s="473"/>
      <c r="E196" s="468" t="s">
        <v>1567</v>
      </c>
      <c r="F196" s="475" t="s">
        <v>699</v>
      </c>
      <c r="G196" s="475" t="s">
        <v>1568</v>
      </c>
    </row>
    <row r="197" spans="1:7">
      <c r="A197" s="471" t="s">
        <v>1531</v>
      </c>
      <c r="B197" s="472" t="s">
        <v>1569</v>
      </c>
      <c r="C197" s="471" t="s">
        <v>1570</v>
      </c>
      <c r="D197" s="473"/>
      <c r="E197" s="468" t="s">
        <v>1571</v>
      </c>
      <c r="F197" s="479" t="s">
        <v>489</v>
      </c>
      <c r="G197" s="477"/>
    </row>
    <row r="198" spans="1:7">
      <c r="A198" s="471" t="s">
        <v>1531</v>
      </c>
      <c r="B198" s="472" t="s">
        <v>1572</v>
      </c>
      <c r="C198" s="471" t="s">
        <v>1573</v>
      </c>
      <c r="D198" s="473"/>
      <c r="E198" s="468" t="s">
        <v>1574</v>
      </c>
      <c r="F198" s="468" t="s">
        <v>626</v>
      </c>
      <c r="G198" s="477" t="s">
        <v>1387</v>
      </c>
    </row>
    <row r="199" spans="1:7">
      <c r="A199" s="471" t="s">
        <v>1531</v>
      </c>
      <c r="B199" s="472" t="s">
        <v>1575</v>
      </c>
      <c r="C199" s="471" t="s">
        <v>1576</v>
      </c>
      <c r="D199" s="473"/>
      <c r="E199" s="468" t="s">
        <v>1577</v>
      </c>
      <c r="F199" s="468" t="s">
        <v>626</v>
      </c>
      <c r="G199" s="477" t="s">
        <v>1387</v>
      </c>
    </row>
    <row r="200" spans="1:7">
      <c r="A200" s="471" t="s">
        <v>1531</v>
      </c>
      <c r="B200" s="472" t="s">
        <v>1384</v>
      </c>
      <c r="C200" s="471" t="s">
        <v>1385</v>
      </c>
      <c r="D200" s="473"/>
      <c r="E200" s="468" t="s">
        <v>1578</v>
      </c>
      <c r="F200" s="475" t="s">
        <v>626</v>
      </c>
      <c r="G200" s="475" t="s">
        <v>1387</v>
      </c>
    </row>
    <row r="201" spans="1:7">
      <c r="A201" s="471" t="s">
        <v>1531</v>
      </c>
      <c r="B201" s="472" t="s">
        <v>1579</v>
      </c>
      <c r="C201" s="471" t="s">
        <v>1580</v>
      </c>
      <c r="D201" s="473"/>
      <c r="E201" s="468" t="s">
        <v>1581</v>
      </c>
      <c r="F201" s="479" t="s">
        <v>1029</v>
      </c>
      <c r="G201" s="477"/>
    </row>
    <row r="202" spans="1:7">
      <c r="A202" s="471" t="s">
        <v>1531</v>
      </c>
      <c r="B202" s="472" t="s">
        <v>1296</v>
      </c>
      <c r="C202" s="471" t="s">
        <v>1297</v>
      </c>
      <c r="D202" s="473" t="s">
        <v>1027</v>
      </c>
      <c r="E202" s="468" t="s">
        <v>1582</v>
      </c>
      <c r="F202" s="475" t="s">
        <v>221</v>
      </c>
      <c r="G202" s="475" t="s">
        <v>284</v>
      </c>
    </row>
    <row r="203" spans="1:7">
      <c r="A203" s="471" t="s">
        <v>1531</v>
      </c>
      <c r="B203" s="472" t="s">
        <v>1583</v>
      </c>
      <c r="C203" s="471" t="s">
        <v>1584</v>
      </c>
      <c r="D203" s="473" t="s">
        <v>1027</v>
      </c>
      <c r="E203" s="468" t="s">
        <v>1585</v>
      </c>
      <c r="F203" s="475" t="s">
        <v>221</v>
      </c>
      <c r="G203" s="475" t="s">
        <v>264</v>
      </c>
    </row>
    <row r="204" spans="1:7">
      <c r="A204" s="471" t="s">
        <v>1531</v>
      </c>
      <c r="B204" s="472" t="s">
        <v>1586</v>
      </c>
      <c r="C204" s="471" t="s">
        <v>1587</v>
      </c>
      <c r="D204" s="473" t="s">
        <v>1027</v>
      </c>
      <c r="E204" s="468" t="s">
        <v>1588</v>
      </c>
      <c r="F204" s="475" t="s">
        <v>221</v>
      </c>
      <c r="G204" s="475" t="s">
        <v>264</v>
      </c>
    </row>
    <row r="205" spans="1:7">
      <c r="A205" s="471" t="s">
        <v>1531</v>
      </c>
      <c r="B205" s="472" t="s">
        <v>1589</v>
      </c>
      <c r="C205" s="471" t="s">
        <v>1590</v>
      </c>
      <c r="D205" s="473" t="s">
        <v>1027</v>
      </c>
      <c r="E205" s="468" t="s">
        <v>1591</v>
      </c>
      <c r="F205" s="479" t="s">
        <v>1029</v>
      </c>
      <c r="G205" s="475"/>
    </row>
    <row r="206" spans="1:7">
      <c r="A206" s="471" t="s">
        <v>1531</v>
      </c>
      <c r="B206" s="472" t="s">
        <v>1592</v>
      </c>
      <c r="C206" s="471" t="s">
        <v>1593</v>
      </c>
      <c r="D206" s="473" t="s">
        <v>1027</v>
      </c>
      <c r="E206" s="468" t="s">
        <v>1594</v>
      </c>
      <c r="F206" s="475" t="s">
        <v>221</v>
      </c>
      <c r="G206" s="475" t="s">
        <v>264</v>
      </c>
    </row>
    <row r="207" spans="1:7">
      <c r="A207" s="471" t="s">
        <v>1531</v>
      </c>
      <c r="B207" s="472" t="s">
        <v>1595</v>
      </c>
      <c r="C207" s="471" t="s">
        <v>1596</v>
      </c>
      <c r="D207" s="473" t="s">
        <v>1027</v>
      </c>
      <c r="E207" s="468" t="s">
        <v>1597</v>
      </c>
      <c r="F207" s="475" t="s">
        <v>221</v>
      </c>
      <c r="G207" s="475" t="s">
        <v>264</v>
      </c>
    </row>
    <row r="208" spans="1:7">
      <c r="A208" s="471" t="s">
        <v>1531</v>
      </c>
      <c r="B208" s="472" t="s">
        <v>1598</v>
      </c>
      <c r="C208" s="471" t="s">
        <v>1599</v>
      </c>
      <c r="D208" s="473" t="s">
        <v>1027</v>
      </c>
      <c r="E208" s="468" t="s">
        <v>1600</v>
      </c>
      <c r="F208" s="479" t="s">
        <v>1029</v>
      </c>
      <c r="G208" s="475"/>
    </row>
    <row r="209" spans="1:7">
      <c r="A209" s="471" t="s">
        <v>1531</v>
      </c>
      <c r="B209" s="472" t="s">
        <v>1601</v>
      </c>
      <c r="C209" s="471" t="s">
        <v>1602</v>
      </c>
      <c r="D209" s="473" t="s">
        <v>1027</v>
      </c>
      <c r="E209" s="468" t="s">
        <v>1603</v>
      </c>
      <c r="F209" s="475" t="s">
        <v>221</v>
      </c>
      <c r="G209" s="475" t="s">
        <v>264</v>
      </c>
    </row>
    <row r="210" spans="1:7">
      <c r="A210" s="471" t="s">
        <v>1531</v>
      </c>
      <c r="B210" s="472" t="s">
        <v>1583</v>
      </c>
      <c r="C210" s="471" t="s">
        <v>1604</v>
      </c>
      <c r="D210" s="473" t="s">
        <v>1027</v>
      </c>
      <c r="E210" s="468" t="s">
        <v>1605</v>
      </c>
      <c r="F210" s="475" t="s">
        <v>221</v>
      </c>
      <c r="G210" s="475" t="s">
        <v>264</v>
      </c>
    </row>
    <row r="211" spans="1:7">
      <c r="A211" s="471" t="s">
        <v>1531</v>
      </c>
      <c r="B211" s="472" t="s">
        <v>1606</v>
      </c>
      <c r="C211" s="471" t="s">
        <v>1607</v>
      </c>
      <c r="D211" s="473" t="s">
        <v>1027</v>
      </c>
      <c r="E211" s="468" t="s">
        <v>1608</v>
      </c>
      <c r="F211" s="475" t="s">
        <v>221</v>
      </c>
      <c r="G211" s="475" t="s">
        <v>264</v>
      </c>
    </row>
    <row r="212" spans="1:7">
      <c r="A212" s="471" t="s">
        <v>1531</v>
      </c>
      <c r="B212" s="472" t="s">
        <v>1609</v>
      </c>
      <c r="C212" s="471" t="s">
        <v>1610</v>
      </c>
      <c r="D212" s="473" t="s">
        <v>1027</v>
      </c>
      <c r="E212" s="468" t="s">
        <v>1611</v>
      </c>
      <c r="F212" s="479" t="s">
        <v>1029</v>
      </c>
      <c r="G212" s="475"/>
    </row>
    <row r="213" spans="1:7">
      <c r="A213" s="471" t="s">
        <v>1531</v>
      </c>
      <c r="B213" s="472" t="s">
        <v>1612</v>
      </c>
      <c r="C213" s="471" t="s">
        <v>1613</v>
      </c>
      <c r="D213" s="473" t="s">
        <v>1027</v>
      </c>
      <c r="E213" s="468" t="s">
        <v>1614</v>
      </c>
      <c r="F213" s="475" t="s">
        <v>221</v>
      </c>
      <c r="G213" s="475" t="s">
        <v>264</v>
      </c>
    </row>
    <row r="214" spans="1:7">
      <c r="A214" s="471" t="s">
        <v>1531</v>
      </c>
      <c r="B214" s="472" t="s">
        <v>1615</v>
      </c>
      <c r="C214" s="471" t="s">
        <v>1616</v>
      </c>
      <c r="D214" s="473" t="s">
        <v>1027</v>
      </c>
      <c r="E214" s="468" t="s">
        <v>1617</v>
      </c>
      <c r="F214" s="475" t="s">
        <v>221</v>
      </c>
      <c r="G214" s="475" t="s">
        <v>264</v>
      </c>
    </row>
    <row r="215" spans="1:7">
      <c r="A215" s="471" t="s">
        <v>1531</v>
      </c>
      <c r="B215" s="472" t="s">
        <v>1061</v>
      </c>
      <c r="C215" s="471" t="s">
        <v>1062</v>
      </c>
      <c r="D215" s="473" t="s">
        <v>1027</v>
      </c>
      <c r="E215" s="468" t="s">
        <v>1618</v>
      </c>
      <c r="F215" s="475" t="s">
        <v>221</v>
      </c>
      <c r="G215" s="477"/>
    </row>
    <row r="216" spans="1:7">
      <c r="A216" s="461" t="s">
        <v>425</v>
      </c>
      <c r="B216" s="462"/>
      <c r="C216" s="462" t="s">
        <v>1022</v>
      </c>
      <c r="D216" s="463"/>
      <c r="E216" s="468" t="s">
        <v>1619</v>
      </c>
      <c r="F216" s="469"/>
      <c r="G216" s="470"/>
    </row>
    <row r="217" spans="1:7">
      <c r="A217" s="471" t="s">
        <v>425</v>
      </c>
      <c r="B217" s="472" t="s">
        <v>1030</v>
      </c>
      <c r="C217" s="471" t="s">
        <v>1031</v>
      </c>
      <c r="D217" s="473"/>
      <c r="E217" s="468" t="s">
        <v>1620</v>
      </c>
      <c r="F217" s="468" t="s">
        <v>1033</v>
      </c>
      <c r="G217" s="477"/>
    </row>
    <row r="218" spans="1:7">
      <c r="A218" s="471" t="s">
        <v>425</v>
      </c>
      <c r="B218" s="472" t="s">
        <v>1327</v>
      </c>
      <c r="C218" s="471" t="s">
        <v>1328</v>
      </c>
      <c r="D218" s="473" t="s">
        <v>1027</v>
      </c>
      <c r="E218" s="468" t="s">
        <v>1621</v>
      </c>
      <c r="F218" s="475" t="s">
        <v>1033</v>
      </c>
      <c r="G218" s="475" t="s">
        <v>429</v>
      </c>
    </row>
    <row r="219" spans="1:7">
      <c r="A219" s="471" t="s">
        <v>425</v>
      </c>
      <c r="B219" s="472" t="s">
        <v>1622</v>
      </c>
      <c r="C219" s="471" t="s">
        <v>1623</v>
      </c>
      <c r="D219" s="473" t="s">
        <v>1027</v>
      </c>
      <c r="E219" s="468" t="s">
        <v>1624</v>
      </c>
      <c r="F219" s="475" t="s">
        <v>1033</v>
      </c>
      <c r="G219" s="475" t="s">
        <v>429</v>
      </c>
    </row>
    <row r="220" spans="1:7">
      <c r="A220" s="471" t="s">
        <v>425</v>
      </c>
      <c r="B220" s="472" t="s">
        <v>1625</v>
      </c>
      <c r="C220" s="471" t="s">
        <v>1626</v>
      </c>
      <c r="D220" s="473" t="s">
        <v>1027</v>
      </c>
      <c r="E220" s="468" t="s">
        <v>1627</v>
      </c>
      <c r="F220" s="475" t="s">
        <v>1033</v>
      </c>
      <c r="G220" s="475" t="s">
        <v>429</v>
      </c>
    </row>
    <row r="221" spans="1:7">
      <c r="A221" s="471" t="s">
        <v>425</v>
      </c>
      <c r="B221" s="472" t="s">
        <v>1628</v>
      </c>
      <c r="C221" s="471" t="s">
        <v>1629</v>
      </c>
      <c r="D221" s="473" t="s">
        <v>1027</v>
      </c>
      <c r="E221" s="468" t="s">
        <v>1630</v>
      </c>
      <c r="F221" s="479" t="s">
        <v>1029</v>
      </c>
      <c r="G221" s="475"/>
    </row>
    <row r="222" spans="1:7">
      <c r="A222" s="471" t="s">
        <v>425</v>
      </c>
      <c r="B222" s="472" t="s">
        <v>1631</v>
      </c>
      <c r="C222" s="471" t="s">
        <v>1632</v>
      </c>
      <c r="D222" s="473" t="s">
        <v>1027</v>
      </c>
      <c r="E222" s="468" t="s">
        <v>1633</v>
      </c>
      <c r="F222" s="475" t="s">
        <v>1033</v>
      </c>
      <c r="G222" s="475" t="s">
        <v>429</v>
      </c>
    </row>
    <row r="223" spans="1:7">
      <c r="A223" s="471" t="s">
        <v>425</v>
      </c>
      <c r="B223" s="472" t="s">
        <v>1634</v>
      </c>
      <c r="C223" s="471" t="s">
        <v>1635</v>
      </c>
      <c r="D223" s="473" t="s">
        <v>1027</v>
      </c>
      <c r="E223" s="468" t="s">
        <v>1636</v>
      </c>
      <c r="F223" s="475" t="s">
        <v>1033</v>
      </c>
      <c r="G223" s="475" t="s">
        <v>425</v>
      </c>
    </row>
    <row r="224" spans="1:7">
      <c r="A224" s="471" t="s">
        <v>425</v>
      </c>
      <c r="B224" s="472" t="s">
        <v>1637</v>
      </c>
      <c r="C224" s="471" t="s">
        <v>1638</v>
      </c>
      <c r="D224" s="473" t="s">
        <v>1027</v>
      </c>
      <c r="E224" s="468" t="s">
        <v>1639</v>
      </c>
      <c r="F224" s="475" t="s">
        <v>1033</v>
      </c>
      <c r="G224" s="475" t="s">
        <v>425</v>
      </c>
    </row>
    <row r="225" spans="1:7">
      <c r="A225" s="471" t="s">
        <v>425</v>
      </c>
      <c r="B225" s="472" t="s">
        <v>1640</v>
      </c>
      <c r="C225" s="471" t="s">
        <v>1641</v>
      </c>
      <c r="D225" s="473" t="s">
        <v>1027</v>
      </c>
      <c r="E225" s="468" t="s">
        <v>1642</v>
      </c>
      <c r="F225" s="475" t="s">
        <v>1033</v>
      </c>
      <c r="G225" s="475" t="s">
        <v>425</v>
      </c>
    </row>
    <row r="226" spans="1:7">
      <c r="A226" s="471" t="s">
        <v>425</v>
      </c>
      <c r="B226" s="472" t="s">
        <v>1643</v>
      </c>
      <c r="C226" s="471" t="s">
        <v>1644</v>
      </c>
      <c r="D226" s="473" t="s">
        <v>1027</v>
      </c>
      <c r="E226" s="468" t="s">
        <v>1645</v>
      </c>
      <c r="F226" s="479" t="s">
        <v>1029</v>
      </c>
      <c r="G226" s="475"/>
    </row>
    <row r="227" spans="1:7">
      <c r="A227" s="471" t="s">
        <v>425</v>
      </c>
      <c r="B227" s="472" t="s">
        <v>1646</v>
      </c>
      <c r="C227" s="471" t="s">
        <v>1647</v>
      </c>
      <c r="D227" s="473" t="s">
        <v>1027</v>
      </c>
      <c r="E227" s="468" t="s">
        <v>1648</v>
      </c>
      <c r="F227" s="475" t="s">
        <v>1033</v>
      </c>
      <c r="G227" s="475" t="s">
        <v>425</v>
      </c>
    </row>
    <row r="228" spans="1:7">
      <c r="A228" s="471" t="s">
        <v>425</v>
      </c>
      <c r="B228" s="472" t="s">
        <v>1649</v>
      </c>
      <c r="C228" s="471" t="s">
        <v>1650</v>
      </c>
      <c r="D228" s="473" t="s">
        <v>1027</v>
      </c>
      <c r="E228" s="468" t="s">
        <v>1651</v>
      </c>
      <c r="F228" s="475" t="s">
        <v>1033</v>
      </c>
      <c r="G228" s="475" t="s">
        <v>425</v>
      </c>
    </row>
    <row r="229" spans="1:7">
      <c r="A229" s="471" t="s">
        <v>425</v>
      </c>
      <c r="B229" s="472" t="s">
        <v>1652</v>
      </c>
      <c r="C229" s="471" t="s">
        <v>1653</v>
      </c>
      <c r="D229" s="473" t="s">
        <v>1027</v>
      </c>
      <c r="E229" s="468" t="s">
        <v>1654</v>
      </c>
      <c r="F229" s="475" t="s">
        <v>1033</v>
      </c>
      <c r="G229" s="475" t="s">
        <v>425</v>
      </c>
    </row>
    <row r="230" spans="1:7">
      <c r="A230" s="471" t="s">
        <v>425</v>
      </c>
      <c r="B230" s="472" t="s">
        <v>1655</v>
      </c>
      <c r="C230" s="471" t="s">
        <v>1656</v>
      </c>
      <c r="D230" s="473" t="s">
        <v>1027</v>
      </c>
      <c r="E230" s="468" t="s">
        <v>1657</v>
      </c>
      <c r="F230" s="475" t="s">
        <v>1033</v>
      </c>
      <c r="G230" s="475" t="s">
        <v>425</v>
      </c>
    </row>
    <row r="231" spans="1:7">
      <c r="A231" s="471" t="s">
        <v>425</v>
      </c>
      <c r="B231" s="472" t="s">
        <v>1658</v>
      </c>
      <c r="C231" s="471" t="s">
        <v>1659</v>
      </c>
      <c r="D231" s="473" t="s">
        <v>1027</v>
      </c>
      <c r="E231" s="468" t="s">
        <v>1660</v>
      </c>
      <c r="F231" s="479" t="s">
        <v>1029</v>
      </c>
      <c r="G231" s="475"/>
    </row>
    <row r="232" spans="1:7">
      <c r="A232" s="471" t="s">
        <v>425</v>
      </c>
      <c r="B232" s="472" t="s">
        <v>1661</v>
      </c>
      <c r="C232" s="471" t="s">
        <v>1662</v>
      </c>
      <c r="D232" s="473" t="s">
        <v>1027</v>
      </c>
      <c r="E232" s="468" t="s">
        <v>1663</v>
      </c>
      <c r="F232" s="475" t="s">
        <v>1033</v>
      </c>
      <c r="G232" s="475" t="s">
        <v>425</v>
      </c>
    </row>
    <row r="233" spans="1:7">
      <c r="A233" s="471" t="s">
        <v>425</v>
      </c>
      <c r="B233" s="472" t="s">
        <v>1664</v>
      </c>
      <c r="C233" s="471" t="s">
        <v>1665</v>
      </c>
      <c r="D233" s="473" t="s">
        <v>1027</v>
      </c>
      <c r="E233" s="468" t="s">
        <v>1666</v>
      </c>
      <c r="F233" s="475" t="s">
        <v>1033</v>
      </c>
      <c r="G233" s="475" t="s">
        <v>425</v>
      </c>
    </row>
    <row r="234" spans="1:7">
      <c r="A234" s="471" t="s">
        <v>425</v>
      </c>
      <c r="B234" s="472" t="s">
        <v>1667</v>
      </c>
      <c r="C234" s="471" t="s">
        <v>1668</v>
      </c>
      <c r="D234" s="473" t="s">
        <v>1027</v>
      </c>
      <c r="E234" s="468" t="s">
        <v>1669</v>
      </c>
      <c r="F234" s="479" t="s">
        <v>1029</v>
      </c>
      <c r="G234" s="475"/>
    </row>
    <row r="235" spans="1:7">
      <c r="A235" s="471" t="s">
        <v>425</v>
      </c>
      <c r="B235" s="472" t="s">
        <v>1670</v>
      </c>
      <c r="C235" s="471" t="s">
        <v>1671</v>
      </c>
      <c r="D235" s="473" t="s">
        <v>1027</v>
      </c>
      <c r="E235" s="468" t="s">
        <v>1672</v>
      </c>
      <c r="F235" s="475" t="s">
        <v>1033</v>
      </c>
      <c r="G235" s="475" t="s">
        <v>425</v>
      </c>
    </row>
    <row r="236" spans="1:7">
      <c r="A236" s="471" t="s">
        <v>425</v>
      </c>
      <c r="B236" s="472" t="s">
        <v>1673</v>
      </c>
      <c r="C236" s="471" t="s">
        <v>1674</v>
      </c>
      <c r="D236" s="473" t="s">
        <v>1027</v>
      </c>
      <c r="E236" s="468" t="s">
        <v>1675</v>
      </c>
      <c r="F236" s="479" t="s">
        <v>1029</v>
      </c>
      <c r="G236" s="475"/>
    </row>
    <row r="237" spans="1:7">
      <c r="A237" s="471" t="s">
        <v>425</v>
      </c>
      <c r="B237" s="472" t="s">
        <v>1676</v>
      </c>
      <c r="C237" s="471" t="s">
        <v>1677</v>
      </c>
      <c r="D237" s="473" t="s">
        <v>1027</v>
      </c>
      <c r="E237" s="468" t="s">
        <v>1678</v>
      </c>
      <c r="F237" s="475" t="s">
        <v>1033</v>
      </c>
      <c r="G237" s="11" t="s">
        <v>435</v>
      </c>
    </row>
    <row r="238" spans="1:7">
      <c r="A238" s="471" t="s">
        <v>425</v>
      </c>
      <c r="B238" s="472" t="s">
        <v>1679</v>
      </c>
      <c r="C238" s="471" t="s">
        <v>1680</v>
      </c>
      <c r="D238" s="473" t="s">
        <v>1027</v>
      </c>
      <c r="E238" s="468" t="s">
        <v>1681</v>
      </c>
      <c r="F238" s="475" t="s">
        <v>1033</v>
      </c>
      <c r="G238" s="475" t="s">
        <v>425</v>
      </c>
    </row>
    <row r="239" spans="1:7">
      <c r="A239" s="471" t="s">
        <v>425</v>
      </c>
      <c r="B239" s="472" t="s">
        <v>1682</v>
      </c>
      <c r="C239" s="471" t="s">
        <v>1683</v>
      </c>
      <c r="D239" s="473" t="s">
        <v>1027</v>
      </c>
      <c r="E239" s="468" t="s">
        <v>1684</v>
      </c>
      <c r="F239" s="475" t="s">
        <v>1033</v>
      </c>
      <c r="G239" s="475" t="s">
        <v>425</v>
      </c>
    </row>
    <row r="240" spans="1:7">
      <c r="A240" s="471" t="s">
        <v>425</v>
      </c>
      <c r="B240" s="472" t="s">
        <v>1061</v>
      </c>
      <c r="C240" s="471" t="s">
        <v>1062</v>
      </c>
      <c r="D240" s="473" t="s">
        <v>1027</v>
      </c>
      <c r="E240" s="468" t="s">
        <v>1685</v>
      </c>
      <c r="F240" s="475" t="s">
        <v>1033</v>
      </c>
      <c r="G240" s="475" t="s">
        <v>425</v>
      </c>
    </row>
    <row r="241" spans="1:7">
      <c r="A241" s="461" t="s">
        <v>1686</v>
      </c>
      <c r="B241" s="462"/>
      <c r="C241" s="462" t="s">
        <v>1022</v>
      </c>
      <c r="D241" s="463"/>
      <c r="E241" s="468" t="s">
        <v>1687</v>
      </c>
      <c r="F241" s="469"/>
      <c r="G241" s="470"/>
    </row>
    <row r="242" spans="1:7">
      <c r="A242" s="471" t="s">
        <v>1686</v>
      </c>
      <c r="B242" s="472" t="s">
        <v>1030</v>
      </c>
      <c r="C242" s="471" t="s">
        <v>1031</v>
      </c>
      <c r="D242" s="473"/>
      <c r="E242" s="468" t="s">
        <v>1688</v>
      </c>
      <c r="F242" s="468" t="s">
        <v>1033</v>
      </c>
      <c r="G242" s="477" t="s">
        <v>421</v>
      </c>
    </row>
    <row r="243" spans="1:7">
      <c r="A243" s="471" t="s">
        <v>1686</v>
      </c>
      <c r="B243" s="472" t="s">
        <v>1043</v>
      </c>
      <c r="C243" s="471" t="s">
        <v>1044</v>
      </c>
      <c r="D243" s="473"/>
      <c r="E243" s="468" t="s">
        <v>1689</v>
      </c>
      <c r="F243" s="468" t="s">
        <v>1033</v>
      </c>
      <c r="G243" s="477" t="s">
        <v>421</v>
      </c>
    </row>
    <row r="244" spans="1:7">
      <c r="A244" s="471" t="s">
        <v>1686</v>
      </c>
      <c r="B244" s="472" t="s">
        <v>1061</v>
      </c>
      <c r="C244" s="471" t="s">
        <v>1062</v>
      </c>
      <c r="D244" s="473" t="s">
        <v>1027</v>
      </c>
      <c r="E244" s="468" t="s">
        <v>1690</v>
      </c>
      <c r="F244" s="475" t="s">
        <v>1033</v>
      </c>
      <c r="G244" s="475" t="s">
        <v>421</v>
      </c>
    </row>
    <row r="245" spans="1:7">
      <c r="A245" s="461" t="s">
        <v>1691</v>
      </c>
      <c r="B245" s="462"/>
      <c r="C245" s="462" t="s">
        <v>1022</v>
      </c>
      <c r="D245" s="463"/>
      <c r="E245" s="468" t="s">
        <v>1692</v>
      </c>
      <c r="F245" s="469"/>
      <c r="G245" s="470"/>
    </row>
    <row r="246" spans="1:7">
      <c r="A246" s="471" t="s">
        <v>1691</v>
      </c>
      <c r="B246" s="472" t="s">
        <v>1030</v>
      </c>
      <c r="C246" s="471" t="s">
        <v>1031</v>
      </c>
      <c r="D246" s="473" t="s">
        <v>1027</v>
      </c>
      <c r="E246" s="468" t="s">
        <v>1693</v>
      </c>
      <c r="F246" s="475" t="s">
        <v>664</v>
      </c>
      <c r="G246" s="477"/>
    </row>
    <row r="247" spans="1:7">
      <c r="A247" s="471" t="s">
        <v>1691</v>
      </c>
      <c r="B247" s="472" t="s">
        <v>1694</v>
      </c>
      <c r="C247" s="471" t="s">
        <v>1695</v>
      </c>
      <c r="D247" s="473" t="s">
        <v>1027</v>
      </c>
      <c r="E247" s="468" t="s">
        <v>1696</v>
      </c>
      <c r="F247" s="475" t="s">
        <v>664</v>
      </c>
      <c r="G247" s="477"/>
    </row>
    <row r="248" spans="1:7">
      <c r="A248" s="471" t="s">
        <v>1691</v>
      </c>
      <c r="B248" s="472" t="s">
        <v>1697</v>
      </c>
      <c r="C248" s="471" t="s">
        <v>1698</v>
      </c>
      <c r="D248" s="473" t="s">
        <v>1027</v>
      </c>
      <c r="E248" s="468" t="s">
        <v>1699</v>
      </c>
      <c r="F248" s="475" t="s">
        <v>664</v>
      </c>
      <c r="G248" s="477"/>
    </row>
    <row r="249" spans="1:7">
      <c r="A249" s="471" t="s">
        <v>1691</v>
      </c>
      <c r="B249" s="472" t="s">
        <v>1700</v>
      </c>
      <c r="C249" s="471" t="s">
        <v>1701</v>
      </c>
      <c r="D249" s="473" t="s">
        <v>1027</v>
      </c>
      <c r="E249" s="468" t="s">
        <v>1702</v>
      </c>
      <c r="F249" s="475" t="s">
        <v>664</v>
      </c>
      <c r="G249" s="477"/>
    </row>
    <row r="250" spans="1:7">
      <c r="A250" s="471" t="s">
        <v>1691</v>
      </c>
      <c r="B250" s="472" t="s">
        <v>1348</v>
      </c>
      <c r="C250" s="471" t="s">
        <v>1349</v>
      </c>
      <c r="D250" s="473" t="s">
        <v>1027</v>
      </c>
      <c r="E250" s="468" t="s">
        <v>1703</v>
      </c>
      <c r="F250" s="475" t="s">
        <v>664</v>
      </c>
      <c r="G250" s="477"/>
    </row>
    <row r="251" spans="1:7">
      <c r="A251" s="471" t="s">
        <v>1691</v>
      </c>
      <c r="B251" s="472" t="s">
        <v>1214</v>
      </c>
      <c r="C251" s="471" t="s">
        <v>1215</v>
      </c>
      <c r="D251" s="473" t="s">
        <v>1027</v>
      </c>
      <c r="E251" s="468" t="s">
        <v>1704</v>
      </c>
      <c r="F251" s="475" t="s">
        <v>664</v>
      </c>
      <c r="G251" s="477"/>
    </row>
    <row r="252" spans="1:7">
      <c r="A252" s="471" t="s">
        <v>1691</v>
      </c>
      <c r="B252" s="472" t="s">
        <v>1705</v>
      </c>
      <c r="C252" s="471" t="s">
        <v>1706</v>
      </c>
      <c r="D252" s="473" t="s">
        <v>1027</v>
      </c>
      <c r="E252" s="468" t="s">
        <v>1707</v>
      </c>
      <c r="F252" s="479" t="s">
        <v>1029</v>
      </c>
      <c r="G252" s="477"/>
    </row>
    <row r="253" spans="1:7">
      <c r="A253" s="471" t="s">
        <v>1691</v>
      </c>
      <c r="B253" s="472" t="s">
        <v>1708</v>
      </c>
      <c r="C253" s="471" t="s">
        <v>1709</v>
      </c>
      <c r="D253" s="473" t="s">
        <v>1027</v>
      </c>
      <c r="E253" s="468" t="s">
        <v>1710</v>
      </c>
      <c r="F253" s="475" t="s">
        <v>664</v>
      </c>
      <c r="G253" s="477"/>
    </row>
    <row r="254" spans="1:7">
      <c r="A254" s="471" t="s">
        <v>1691</v>
      </c>
      <c r="B254" s="472" t="s">
        <v>1074</v>
      </c>
      <c r="C254" s="471" t="s">
        <v>1075</v>
      </c>
      <c r="D254" s="473" t="s">
        <v>1027</v>
      </c>
      <c r="E254" s="468" t="s">
        <v>1711</v>
      </c>
      <c r="F254" s="475" t="s">
        <v>664</v>
      </c>
      <c r="G254" s="477"/>
    </row>
    <row r="255" spans="1:7">
      <c r="A255" s="471" t="s">
        <v>1691</v>
      </c>
      <c r="B255" s="472" t="s">
        <v>1077</v>
      </c>
      <c r="C255" s="471" t="s">
        <v>1078</v>
      </c>
      <c r="D255" s="473" t="s">
        <v>1027</v>
      </c>
      <c r="E255" s="468" t="s">
        <v>1712</v>
      </c>
      <c r="F255" s="475" t="s">
        <v>664</v>
      </c>
      <c r="G255" s="477"/>
    </row>
    <row r="256" spans="1:7">
      <c r="A256" s="471" t="s">
        <v>1691</v>
      </c>
      <c r="B256" s="472" t="s">
        <v>1221</v>
      </c>
      <c r="C256" s="471" t="s">
        <v>1222</v>
      </c>
      <c r="D256" s="473" t="s">
        <v>1027</v>
      </c>
      <c r="E256" s="468" t="s">
        <v>1713</v>
      </c>
      <c r="F256" s="475" t="s">
        <v>664</v>
      </c>
      <c r="G256" s="477"/>
    </row>
    <row r="257" spans="1:7">
      <c r="A257" s="471" t="s">
        <v>1691</v>
      </c>
      <c r="B257" s="472" t="s">
        <v>1714</v>
      </c>
      <c r="C257" s="471" t="s">
        <v>1715</v>
      </c>
      <c r="D257" s="473" t="s">
        <v>1027</v>
      </c>
      <c r="E257" s="468" t="s">
        <v>1716</v>
      </c>
      <c r="F257" s="475" t="s">
        <v>664</v>
      </c>
      <c r="G257" s="477"/>
    </row>
    <row r="258" spans="1:7">
      <c r="A258" s="471" t="s">
        <v>1691</v>
      </c>
      <c r="B258" s="472" t="s">
        <v>1356</v>
      </c>
      <c r="C258" s="471" t="s">
        <v>1357</v>
      </c>
      <c r="D258" s="473" t="s">
        <v>1027</v>
      </c>
      <c r="E258" s="468" t="s">
        <v>1717</v>
      </c>
      <c r="F258" s="475" t="s">
        <v>664</v>
      </c>
      <c r="G258" s="477"/>
    </row>
    <row r="259" spans="1:7">
      <c r="A259" s="471" t="s">
        <v>1691</v>
      </c>
      <c r="B259" s="472" t="s">
        <v>1718</v>
      </c>
      <c r="C259" s="471" t="s">
        <v>1719</v>
      </c>
      <c r="D259" s="473" t="s">
        <v>1027</v>
      </c>
      <c r="E259" s="468" t="s">
        <v>1720</v>
      </c>
      <c r="F259" s="479" t="s">
        <v>1029</v>
      </c>
      <c r="G259" s="477"/>
    </row>
    <row r="260" spans="1:7">
      <c r="A260" s="471" t="s">
        <v>1691</v>
      </c>
      <c r="B260" s="472" t="s">
        <v>1359</v>
      </c>
      <c r="C260" s="471" t="s">
        <v>1360</v>
      </c>
      <c r="D260" s="473" t="s">
        <v>1027</v>
      </c>
      <c r="E260" s="468" t="s">
        <v>1721</v>
      </c>
      <c r="F260" s="475" t="s">
        <v>664</v>
      </c>
      <c r="G260" s="477"/>
    </row>
    <row r="261" spans="1:7">
      <c r="A261" s="471" t="s">
        <v>1691</v>
      </c>
      <c r="B261" s="472" t="s">
        <v>1365</v>
      </c>
      <c r="C261" s="471" t="s">
        <v>1366</v>
      </c>
      <c r="D261" s="473" t="s">
        <v>1027</v>
      </c>
      <c r="E261" s="468" t="s">
        <v>1722</v>
      </c>
      <c r="F261" s="475" t="s">
        <v>664</v>
      </c>
      <c r="G261" s="477"/>
    </row>
    <row r="262" spans="1:7">
      <c r="A262" s="471" t="s">
        <v>1691</v>
      </c>
      <c r="B262" s="472" t="s">
        <v>1299</v>
      </c>
      <c r="C262" s="471" t="s">
        <v>1300</v>
      </c>
      <c r="D262" s="473" t="s">
        <v>1027</v>
      </c>
      <c r="E262" s="468" t="s">
        <v>1723</v>
      </c>
      <c r="F262" s="475" t="s">
        <v>664</v>
      </c>
      <c r="G262" s="477"/>
    </row>
    <row r="263" spans="1:7">
      <c r="A263" s="471" t="s">
        <v>1691</v>
      </c>
      <c r="B263" s="472" t="s">
        <v>1724</v>
      </c>
      <c r="C263" s="471" t="s">
        <v>1725</v>
      </c>
      <c r="D263" s="473" t="s">
        <v>1027</v>
      </c>
      <c r="E263" s="468" t="s">
        <v>1726</v>
      </c>
      <c r="F263" s="475" t="s">
        <v>664</v>
      </c>
      <c r="G263" s="477"/>
    </row>
    <row r="264" spans="1:7">
      <c r="A264" s="471" t="s">
        <v>1691</v>
      </c>
      <c r="B264" s="472" t="s">
        <v>1061</v>
      </c>
      <c r="C264" s="471" t="s">
        <v>1062</v>
      </c>
      <c r="D264" s="473" t="s">
        <v>1027</v>
      </c>
      <c r="E264" s="468" t="s">
        <v>1727</v>
      </c>
      <c r="F264" s="475" t="s">
        <v>664</v>
      </c>
      <c r="G264" s="477"/>
    </row>
    <row r="265" spans="1:7">
      <c r="A265" s="471" t="s">
        <v>1691</v>
      </c>
      <c r="B265" s="472" t="s">
        <v>1728</v>
      </c>
      <c r="C265" s="471" t="s">
        <v>1729</v>
      </c>
      <c r="D265" s="473" t="s">
        <v>1027</v>
      </c>
      <c r="E265" s="468" t="s">
        <v>1730</v>
      </c>
      <c r="F265" s="475" t="s">
        <v>664</v>
      </c>
      <c r="G265" s="477"/>
    </row>
    <row r="266" spans="1:7">
      <c r="A266" s="461" t="s">
        <v>1731</v>
      </c>
      <c r="B266" s="462"/>
      <c r="C266" s="462" t="s">
        <v>1022</v>
      </c>
      <c r="D266" s="463"/>
      <c r="E266" s="468" t="s">
        <v>1732</v>
      </c>
      <c r="F266" s="469"/>
      <c r="G266" s="470"/>
    </row>
    <row r="267" spans="1:7">
      <c r="A267" s="471" t="s">
        <v>1731</v>
      </c>
      <c r="B267" s="472" t="s">
        <v>1030</v>
      </c>
      <c r="C267" s="471" t="s">
        <v>1031</v>
      </c>
      <c r="D267" s="473"/>
      <c r="E267" s="468" t="s">
        <v>1733</v>
      </c>
      <c r="F267" s="468" t="s">
        <v>489</v>
      </c>
      <c r="G267" s="477"/>
    </row>
    <row r="268" spans="1:7">
      <c r="A268" s="471" t="s">
        <v>1731</v>
      </c>
      <c r="B268" s="472" t="s">
        <v>1734</v>
      </c>
      <c r="C268" s="471" t="s">
        <v>1735</v>
      </c>
      <c r="D268" s="473" t="s">
        <v>1027</v>
      </c>
      <c r="E268" s="468" t="s">
        <v>1736</v>
      </c>
      <c r="F268" s="475" t="s">
        <v>489</v>
      </c>
      <c r="G268" s="477"/>
    </row>
    <row r="269" spans="1:7">
      <c r="A269" s="471" t="s">
        <v>1731</v>
      </c>
      <c r="B269" s="472" t="s">
        <v>1381</v>
      </c>
      <c r="C269" s="471" t="s">
        <v>1382</v>
      </c>
      <c r="D269" s="473" t="s">
        <v>1027</v>
      </c>
      <c r="E269" s="468" t="s">
        <v>1737</v>
      </c>
      <c r="F269" s="475" t="s">
        <v>489</v>
      </c>
      <c r="G269" s="477"/>
    </row>
    <row r="270" spans="1:7">
      <c r="A270" s="471" t="s">
        <v>1731</v>
      </c>
      <c r="B270" s="472" t="s">
        <v>1738</v>
      </c>
      <c r="C270" s="471" t="s">
        <v>1739</v>
      </c>
      <c r="D270" s="473" t="s">
        <v>1027</v>
      </c>
      <c r="E270" s="468" t="s">
        <v>1740</v>
      </c>
      <c r="F270" s="475" t="s">
        <v>489</v>
      </c>
      <c r="G270" s="477"/>
    </row>
    <row r="271" spans="1:7">
      <c r="A271" s="471" t="s">
        <v>1731</v>
      </c>
      <c r="B271" s="472" t="s">
        <v>1741</v>
      </c>
      <c r="C271" s="471" t="s">
        <v>1742</v>
      </c>
      <c r="D271" s="473" t="s">
        <v>1027</v>
      </c>
      <c r="E271" s="468" t="s">
        <v>1743</v>
      </c>
      <c r="F271" s="475" t="s">
        <v>489</v>
      </c>
      <c r="G271" s="477"/>
    </row>
    <row r="272" spans="1:7">
      <c r="A272" s="471" t="s">
        <v>1731</v>
      </c>
      <c r="B272" s="472" t="s">
        <v>1744</v>
      </c>
      <c r="C272" s="471" t="s">
        <v>1745</v>
      </c>
      <c r="D272" s="473" t="s">
        <v>1027</v>
      </c>
      <c r="E272" s="468" t="s">
        <v>1746</v>
      </c>
      <c r="F272" s="475" t="s">
        <v>1747</v>
      </c>
      <c r="G272" s="475" t="s">
        <v>471</v>
      </c>
    </row>
    <row r="273" spans="1:7">
      <c r="A273" s="471" t="s">
        <v>1731</v>
      </c>
      <c r="B273" s="472" t="s">
        <v>1569</v>
      </c>
      <c r="C273" s="471" t="s">
        <v>1570</v>
      </c>
      <c r="D273" s="473" t="s">
        <v>1027</v>
      </c>
      <c r="E273" s="468" t="s">
        <v>1748</v>
      </c>
      <c r="F273" s="475" t="s">
        <v>489</v>
      </c>
      <c r="G273" s="475"/>
    </row>
    <row r="274" spans="1:7">
      <c r="A274" s="471" t="s">
        <v>1731</v>
      </c>
      <c r="B274" s="472" t="s">
        <v>1749</v>
      </c>
      <c r="C274" s="471" t="s">
        <v>1750</v>
      </c>
      <c r="D274" s="473" t="s">
        <v>1027</v>
      </c>
      <c r="E274" s="468" t="s">
        <v>1751</v>
      </c>
      <c r="F274" s="474" t="s">
        <v>1029</v>
      </c>
      <c r="G274" s="475"/>
    </row>
    <row r="275" spans="1:7">
      <c r="A275" s="471" t="s">
        <v>1731</v>
      </c>
      <c r="B275" s="472" t="s">
        <v>1061</v>
      </c>
      <c r="C275" s="471" t="s">
        <v>1062</v>
      </c>
      <c r="D275" s="473" t="s">
        <v>1027</v>
      </c>
      <c r="E275" s="468" t="s">
        <v>1752</v>
      </c>
      <c r="F275" s="475" t="s">
        <v>489</v>
      </c>
      <c r="G275" s="475"/>
    </row>
    <row r="276" spans="1:7">
      <c r="A276" s="461" t="s">
        <v>1753</v>
      </c>
      <c r="B276" s="462"/>
      <c r="C276" s="462" t="s">
        <v>1022</v>
      </c>
      <c r="D276" s="463"/>
      <c r="E276" s="468" t="s">
        <v>1754</v>
      </c>
      <c r="F276" s="469"/>
      <c r="G276" s="470"/>
    </row>
    <row r="277" spans="1:7">
      <c r="A277" s="471" t="s">
        <v>1753</v>
      </c>
      <c r="B277" s="472" t="s">
        <v>1030</v>
      </c>
      <c r="C277" s="471" t="s">
        <v>1031</v>
      </c>
      <c r="D277" s="473" t="s">
        <v>1027</v>
      </c>
      <c r="E277" s="468" t="s">
        <v>1755</v>
      </c>
      <c r="F277" s="474" t="s">
        <v>1033</v>
      </c>
      <c r="G277" s="478" t="s">
        <v>421</v>
      </c>
    </row>
    <row r="278" spans="1:7">
      <c r="A278" s="471" t="s">
        <v>1753</v>
      </c>
      <c r="B278" s="472" t="s">
        <v>1080</v>
      </c>
      <c r="C278" s="471" t="s">
        <v>1081</v>
      </c>
      <c r="D278" s="473" t="s">
        <v>1027</v>
      </c>
      <c r="E278" s="468" t="s">
        <v>1756</v>
      </c>
      <c r="F278" s="474" t="s">
        <v>664</v>
      </c>
      <c r="G278" s="477"/>
    </row>
    <row r="279" spans="1:7">
      <c r="A279" s="471" t="s">
        <v>1753</v>
      </c>
      <c r="B279" s="472" t="s">
        <v>1757</v>
      </c>
      <c r="C279" s="471" t="s">
        <v>1758</v>
      </c>
      <c r="D279" s="473" t="s">
        <v>1027</v>
      </c>
      <c r="E279" s="468" t="s">
        <v>1759</v>
      </c>
      <c r="F279" s="474" t="s">
        <v>1033</v>
      </c>
      <c r="G279" s="478" t="s">
        <v>421</v>
      </c>
    </row>
    <row r="280" spans="1:7">
      <c r="A280" s="471" t="s">
        <v>1753</v>
      </c>
      <c r="B280" s="472" t="s">
        <v>1043</v>
      </c>
      <c r="C280" s="471" t="s">
        <v>1044</v>
      </c>
      <c r="D280" s="473" t="s">
        <v>1027</v>
      </c>
      <c r="E280" s="468" t="s">
        <v>1760</v>
      </c>
      <c r="F280" s="474" t="s">
        <v>1033</v>
      </c>
      <c r="G280" s="478" t="s">
        <v>421</v>
      </c>
    </row>
    <row r="281" spans="1:7">
      <c r="A281" s="471" t="s">
        <v>1753</v>
      </c>
      <c r="B281" s="472" t="s">
        <v>1052</v>
      </c>
      <c r="C281" s="471" t="s">
        <v>1053</v>
      </c>
      <c r="D281" s="473" t="s">
        <v>1027</v>
      </c>
      <c r="E281" s="468" t="s">
        <v>1761</v>
      </c>
      <c r="F281" s="474" t="s">
        <v>1033</v>
      </c>
      <c r="G281" s="478" t="s">
        <v>421</v>
      </c>
    </row>
    <row r="282" spans="1:7">
      <c r="A282" s="471" t="s">
        <v>1753</v>
      </c>
      <c r="B282" s="472" t="s">
        <v>1762</v>
      </c>
      <c r="C282" s="471" t="s">
        <v>1763</v>
      </c>
      <c r="D282" s="473" t="s">
        <v>1027</v>
      </c>
      <c r="E282" s="468" t="s">
        <v>1764</v>
      </c>
      <c r="F282" s="474" t="s">
        <v>1033</v>
      </c>
      <c r="G282" s="478" t="s">
        <v>421</v>
      </c>
    </row>
    <row r="283" spans="1:7">
      <c r="A283" s="471" t="s">
        <v>1753</v>
      </c>
      <c r="B283" s="472" t="s">
        <v>1765</v>
      </c>
      <c r="C283" s="471" t="s">
        <v>1766</v>
      </c>
      <c r="D283" s="473" t="s">
        <v>1027</v>
      </c>
      <c r="E283" s="468" t="s">
        <v>1767</v>
      </c>
      <c r="F283" s="474" t="s">
        <v>1033</v>
      </c>
      <c r="G283" s="478" t="s">
        <v>421</v>
      </c>
    </row>
    <row r="284" spans="1:7">
      <c r="A284" s="471" t="s">
        <v>1753</v>
      </c>
      <c r="B284" s="472" t="s">
        <v>1768</v>
      </c>
      <c r="C284" s="471" t="s">
        <v>1769</v>
      </c>
      <c r="D284" s="473" t="s">
        <v>1027</v>
      </c>
      <c r="E284" s="468" t="s">
        <v>1770</v>
      </c>
      <c r="F284" s="474" t="s">
        <v>1033</v>
      </c>
      <c r="G284" s="478" t="s">
        <v>421</v>
      </c>
    </row>
    <row r="285" spans="1:7">
      <c r="A285" s="471" t="s">
        <v>1753</v>
      </c>
      <c r="B285" s="472" t="s">
        <v>1239</v>
      </c>
      <c r="C285" s="471" t="s">
        <v>1771</v>
      </c>
      <c r="D285" s="473" t="s">
        <v>1027</v>
      </c>
      <c r="E285" s="468" t="s">
        <v>1772</v>
      </c>
      <c r="F285" s="474" t="s">
        <v>1033</v>
      </c>
      <c r="G285" s="478" t="s">
        <v>421</v>
      </c>
    </row>
    <row r="286" spans="1:7">
      <c r="A286" s="471" t="s">
        <v>1753</v>
      </c>
      <c r="B286" s="472" t="s">
        <v>1583</v>
      </c>
      <c r="C286" s="471" t="s">
        <v>1584</v>
      </c>
      <c r="D286" s="473" t="s">
        <v>1027</v>
      </c>
      <c r="E286" s="468" t="s">
        <v>1773</v>
      </c>
      <c r="F286" s="474" t="s">
        <v>1033</v>
      </c>
      <c r="G286" s="478" t="s">
        <v>421</v>
      </c>
    </row>
    <row r="287" spans="1:7">
      <c r="A287" s="471" t="s">
        <v>1753</v>
      </c>
      <c r="B287" s="472" t="s">
        <v>1774</v>
      </c>
      <c r="C287" s="471" t="s">
        <v>1775</v>
      </c>
      <c r="D287" s="473" t="s">
        <v>1027</v>
      </c>
      <c r="E287" s="468" t="s">
        <v>1776</v>
      </c>
      <c r="F287" s="474" t="s">
        <v>1033</v>
      </c>
      <c r="G287" s="478" t="s">
        <v>421</v>
      </c>
    </row>
    <row r="288" spans="1:7">
      <c r="A288" s="471" t="s">
        <v>1753</v>
      </c>
      <c r="B288" s="472" t="s">
        <v>1777</v>
      </c>
      <c r="C288" s="471" t="s">
        <v>1778</v>
      </c>
      <c r="D288" s="473" t="s">
        <v>1027</v>
      </c>
      <c r="E288" s="468" t="s">
        <v>1779</v>
      </c>
      <c r="F288" s="474" t="s">
        <v>1033</v>
      </c>
      <c r="G288" s="478" t="s">
        <v>421</v>
      </c>
    </row>
    <row r="289" spans="1:7">
      <c r="A289" s="471" t="s">
        <v>1753</v>
      </c>
      <c r="B289" s="472" t="s">
        <v>1061</v>
      </c>
      <c r="C289" s="471" t="s">
        <v>1062</v>
      </c>
      <c r="D289" s="473" t="s">
        <v>1027</v>
      </c>
      <c r="E289" s="468" t="s">
        <v>1780</v>
      </c>
      <c r="F289" s="474" t="s">
        <v>1033</v>
      </c>
      <c r="G289" s="478" t="s">
        <v>421</v>
      </c>
    </row>
    <row r="290" spans="1:7">
      <c r="A290" s="461" t="s">
        <v>1781</v>
      </c>
      <c r="B290" s="462"/>
      <c r="C290" s="462" t="s">
        <v>1022</v>
      </c>
      <c r="D290" s="463"/>
      <c r="E290" s="468" t="s">
        <v>1782</v>
      </c>
      <c r="F290" s="469"/>
      <c r="G290" s="470"/>
    </row>
    <row r="291" spans="1:7">
      <c r="A291" s="471" t="s">
        <v>1781</v>
      </c>
      <c r="B291" s="472" t="s">
        <v>1025</v>
      </c>
      <c r="C291" s="471" t="s">
        <v>1026</v>
      </c>
      <c r="D291" s="473" t="s">
        <v>1027</v>
      </c>
      <c r="E291" s="468" t="s">
        <v>1783</v>
      </c>
      <c r="F291" s="474" t="s">
        <v>1029</v>
      </c>
      <c r="G291" s="477"/>
    </row>
    <row r="292" spans="1:7">
      <c r="A292" s="471" t="s">
        <v>1781</v>
      </c>
      <c r="B292" s="472" t="s">
        <v>1030</v>
      </c>
      <c r="C292" s="471" t="s">
        <v>1031</v>
      </c>
      <c r="D292" s="473" t="s">
        <v>1027</v>
      </c>
      <c r="E292" s="468" t="s">
        <v>1784</v>
      </c>
      <c r="F292" s="475" t="s">
        <v>1084</v>
      </c>
      <c r="G292" s="477"/>
    </row>
    <row r="293" spans="1:7">
      <c r="A293" s="471" t="s">
        <v>1781</v>
      </c>
      <c r="B293" s="472" t="s">
        <v>1714</v>
      </c>
      <c r="C293" s="471" t="s">
        <v>1715</v>
      </c>
      <c r="D293" s="473" t="s">
        <v>1027</v>
      </c>
      <c r="E293" s="468" t="s">
        <v>1785</v>
      </c>
      <c r="F293" s="474" t="s">
        <v>664</v>
      </c>
      <c r="G293" s="477"/>
    </row>
    <row r="294" spans="1:7">
      <c r="A294" s="471" t="s">
        <v>1781</v>
      </c>
      <c r="B294" s="472" t="s">
        <v>1261</v>
      </c>
      <c r="C294" s="471" t="s">
        <v>1262</v>
      </c>
      <c r="D294" s="473" t="s">
        <v>1027</v>
      </c>
      <c r="E294" s="468" t="s">
        <v>1786</v>
      </c>
      <c r="F294" s="474" t="s">
        <v>221</v>
      </c>
      <c r="G294" s="474" t="s">
        <v>289</v>
      </c>
    </row>
    <row r="295" spans="1:7">
      <c r="A295" s="471" t="s">
        <v>1781</v>
      </c>
      <c r="B295" s="472" t="s">
        <v>1283</v>
      </c>
      <c r="C295" s="471" t="s">
        <v>1284</v>
      </c>
      <c r="D295" s="473" t="s">
        <v>1027</v>
      </c>
      <c r="E295" s="468" t="s">
        <v>1787</v>
      </c>
      <c r="F295" s="474" t="s">
        <v>221</v>
      </c>
      <c r="G295" s="474" t="s">
        <v>1276</v>
      </c>
    </row>
    <row r="296" spans="1:7">
      <c r="A296" s="471" t="s">
        <v>1781</v>
      </c>
      <c r="B296" s="472" t="s">
        <v>1762</v>
      </c>
      <c r="C296" s="471" t="s">
        <v>1763</v>
      </c>
      <c r="D296" s="473" t="s">
        <v>1027</v>
      </c>
      <c r="E296" s="468" t="s">
        <v>1788</v>
      </c>
      <c r="F296" s="474" t="s">
        <v>1033</v>
      </c>
      <c r="G296" s="478" t="s">
        <v>421</v>
      </c>
    </row>
    <row r="297" spans="1:7">
      <c r="A297" s="471" t="s">
        <v>1781</v>
      </c>
      <c r="B297" s="472" t="s">
        <v>1789</v>
      </c>
      <c r="C297" s="471" t="s">
        <v>1790</v>
      </c>
      <c r="D297" s="473" t="s">
        <v>1027</v>
      </c>
      <c r="E297" s="468" t="s">
        <v>1791</v>
      </c>
      <c r="F297" s="474" t="s">
        <v>626</v>
      </c>
      <c r="G297" s="474" t="s">
        <v>1792</v>
      </c>
    </row>
    <row r="298" spans="1:7">
      <c r="A298" s="471" t="s">
        <v>1781</v>
      </c>
      <c r="B298" s="472" t="s">
        <v>1793</v>
      </c>
      <c r="C298" s="471" t="s">
        <v>1794</v>
      </c>
      <c r="D298" s="473" t="s">
        <v>1027</v>
      </c>
      <c r="E298" s="468" t="s">
        <v>1795</v>
      </c>
      <c r="F298" s="474" t="s">
        <v>626</v>
      </c>
      <c r="G298" s="474" t="s">
        <v>1792</v>
      </c>
    </row>
    <row r="299" spans="1:7">
      <c r="A299" s="471" t="s">
        <v>1781</v>
      </c>
      <c r="B299" s="472" t="s">
        <v>1796</v>
      </c>
      <c r="C299" s="471" t="s">
        <v>1797</v>
      </c>
      <c r="D299" s="473" t="s">
        <v>1027</v>
      </c>
      <c r="E299" s="468" t="s">
        <v>1798</v>
      </c>
      <c r="F299" s="474" t="s">
        <v>626</v>
      </c>
      <c r="G299" s="474" t="s">
        <v>628</v>
      </c>
    </row>
    <row r="300" spans="1:7">
      <c r="A300" s="471" t="s">
        <v>1781</v>
      </c>
      <c r="B300" s="472" t="s">
        <v>1799</v>
      </c>
      <c r="C300" s="471" t="s">
        <v>1800</v>
      </c>
      <c r="D300" s="473" t="s">
        <v>1027</v>
      </c>
      <c r="E300" s="468" t="s">
        <v>1801</v>
      </c>
      <c r="F300" s="474" t="s">
        <v>626</v>
      </c>
      <c r="G300" s="474" t="s">
        <v>628</v>
      </c>
    </row>
    <row r="301" spans="1:7">
      <c r="A301" s="471" t="s">
        <v>1781</v>
      </c>
      <c r="B301" s="472" t="s">
        <v>1774</v>
      </c>
      <c r="C301" s="471" t="s">
        <v>1775</v>
      </c>
      <c r="D301" s="473" t="s">
        <v>1027</v>
      </c>
      <c r="E301" s="468" t="s">
        <v>1802</v>
      </c>
      <c r="F301" s="474" t="s">
        <v>1033</v>
      </c>
      <c r="G301" s="478" t="s">
        <v>421</v>
      </c>
    </row>
    <row r="302" spans="1:7">
      <c r="A302" s="471" t="s">
        <v>1781</v>
      </c>
      <c r="B302" s="472" t="s">
        <v>1803</v>
      </c>
      <c r="C302" s="471" t="s">
        <v>1804</v>
      </c>
      <c r="D302" s="473" t="s">
        <v>1027</v>
      </c>
      <c r="E302" s="468" t="s">
        <v>1805</v>
      </c>
      <c r="F302" s="475" t="s">
        <v>1084</v>
      </c>
      <c r="G302" s="477"/>
    </row>
    <row r="303" spans="1:7">
      <c r="A303" s="471" t="s">
        <v>1781</v>
      </c>
      <c r="B303" s="472" t="s">
        <v>1305</v>
      </c>
      <c r="C303" s="471" t="s">
        <v>1306</v>
      </c>
      <c r="D303" s="473" t="s">
        <v>1027</v>
      </c>
      <c r="E303" s="468" t="s">
        <v>1806</v>
      </c>
      <c r="F303" s="479" t="s">
        <v>221</v>
      </c>
      <c r="G303" s="477"/>
    </row>
    <row r="304" spans="1:7">
      <c r="A304" s="471" t="s">
        <v>1781</v>
      </c>
      <c r="B304" s="472" t="s">
        <v>1807</v>
      </c>
      <c r="C304" s="471" t="s">
        <v>1808</v>
      </c>
      <c r="D304" s="473" t="s">
        <v>1027</v>
      </c>
      <c r="E304" s="468" t="s">
        <v>1809</v>
      </c>
      <c r="F304" s="474" t="s">
        <v>699</v>
      </c>
      <c r="G304" s="474" t="s">
        <v>1568</v>
      </c>
    </row>
    <row r="305" spans="1:7">
      <c r="A305" s="471" t="s">
        <v>1781</v>
      </c>
      <c r="B305" s="472" t="s">
        <v>1810</v>
      </c>
      <c r="C305" s="471" t="s">
        <v>1811</v>
      </c>
      <c r="D305" s="473" t="s">
        <v>1027</v>
      </c>
      <c r="E305" s="468" t="s">
        <v>1812</v>
      </c>
      <c r="F305" s="475" t="s">
        <v>699</v>
      </c>
      <c r="G305" s="475" t="s">
        <v>1568</v>
      </c>
    </row>
    <row r="306" spans="1:7">
      <c r="A306" s="471" t="s">
        <v>1781</v>
      </c>
      <c r="B306" s="472" t="s">
        <v>1813</v>
      </c>
      <c r="C306" s="471" t="s">
        <v>1814</v>
      </c>
      <c r="D306" s="473" t="s">
        <v>1027</v>
      </c>
      <c r="E306" s="468" t="s">
        <v>1815</v>
      </c>
      <c r="F306" s="474" t="s">
        <v>699</v>
      </c>
      <c r="G306" s="474" t="s">
        <v>1568</v>
      </c>
    </row>
    <row r="307" spans="1:7">
      <c r="A307" s="471" t="s">
        <v>1781</v>
      </c>
      <c r="B307" s="472" t="s">
        <v>1816</v>
      </c>
      <c r="C307" s="471" t="s">
        <v>1817</v>
      </c>
      <c r="D307" s="473" t="s">
        <v>1027</v>
      </c>
      <c r="E307" s="468" t="s">
        <v>1818</v>
      </c>
      <c r="F307" s="476" t="s">
        <v>1819</v>
      </c>
      <c r="G307" s="486"/>
    </row>
    <row r="308" spans="1:7">
      <c r="A308" s="471" t="s">
        <v>1781</v>
      </c>
      <c r="B308" s="472" t="s">
        <v>1820</v>
      </c>
      <c r="C308" s="471" t="s">
        <v>1821</v>
      </c>
      <c r="D308" s="473" t="s">
        <v>1027</v>
      </c>
      <c r="E308" s="468" t="s">
        <v>1822</v>
      </c>
      <c r="F308" s="474" t="s">
        <v>1823</v>
      </c>
      <c r="G308" s="474" t="s">
        <v>688</v>
      </c>
    </row>
    <row r="309" spans="1:7">
      <c r="A309" s="471" t="s">
        <v>1781</v>
      </c>
      <c r="B309" s="472" t="s">
        <v>1824</v>
      </c>
      <c r="C309" s="471" t="s">
        <v>1825</v>
      </c>
      <c r="D309" s="473" t="s">
        <v>1027</v>
      </c>
      <c r="E309" s="468" t="s">
        <v>1826</v>
      </c>
      <c r="F309" s="474" t="s">
        <v>463</v>
      </c>
      <c r="G309" s="477"/>
    </row>
    <row r="310" spans="1:7">
      <c r="A310" s="471" t="s">
        <v>1781</v>
      </c>
      <c r="B310" s="472" t="s">
        <v>1827</v>
      </c>
      <c r="C310" s="471" t="s">
        <v>1828</v>
      </c>
      <c r="D310" s="473" t="s">
        <v>1027</v>
      </c>
      <c r="E310" s="468" t="s">
        <v>1829</v>
      </c>
      <c r="F310" s="474" t="s">
        <v>1747</v>
      </c>
      <c r="G310" s="474" t="s">
        <v>471</v>
      </c>
    </row>
    <row r="311" spans="1:7">
      <c r="A311" s="471" t="s">
        <v>1781</v>
      </c>
      <c r="B311" s="472" t="s">
        <v>1830</v>
      </c>
      <c r="C311" s="471" t="s">
        <v>1831</v>
      </c>
      <c r="D311" s="473" t="s">
        <v>1027</v>
      </c>
      <c r="E311" s="468" t="s">
        <v>1832</v>
      </c>
      <c r="F311" s="474" t="s">
        <v>1819</v>
      </c>
      <c r="G311" s="477"/>
    </row>
    <row r="312" spans="1:7">
      <c r="A312" s="471" t="s">
        <v>1781</v>
      </c>
      <c r="B312" s="472" t="s">
        <v>1061</v>
      </c>
      <c r="C312" s="471" t="s">
        <v>1062</v>
      </c>
      <c r="D312" s="473" t="s">
        <v>1027</v>
      </c>
      <c r="E312" s="468" t="s">
        <v>1833</v>
      </c>
      <c r="F312" s="475" t="s">
        <v>1084</v>
      </c>
      <c r="G312" s="477"/>
    </row>
    <row r="313" spans="1:7">
      <c r="A313" s="471" t="s">
        <v>1781</v>
      </c>
      <c r="B313" s="472" t="s">
        <v>1834</v>
      </c>
      <c r="C313" s="471" t="s">
        <v>1835</v>
      </c>
      <c r="D313" s="473" t="s">
        <v>1027</v>
      </c>
      <c r="E313" s="468" t="s">
        <v>1836</v>
      </c>
      <c r="F313" s="487" t="s">
        <v>783</v>
      </c>
      <c r="G313" s="488" t="s">
        <v>1837</v>
      </c>
    </row>
    <row r="314" spans="1:7">
      <c r="A314" s="471" t="s">
        <v>1781</v>
      </c>
      <c r="B314" s="472" t="s">
        <v>1838</v>
      </c>
      <c r="C314" s="471" t="s">
        <v>1839</v>
      </c>
      <c r="D314" s="473" t="s">
        <v>1027</v>
      </c>
      <c r="E314" s="468" t="s">
        <v>1840</v>
      </c>
      <c r="F314" s="474" t="s">
        <v>481</v>
      </c>
      <c r="G314" s="477"/>
    </row>
    <row r="315" spans="1:7">
      <c r="A315" s="471" t="s">
        <v>1781</v>
      </c>
      <c r="B315" s="472" t="s">
        <v>1841</v>
      </c>
      <c r="C315" s="471" t="s">
        <v>1842</v>
      </c>
      <c r="D315" s="473" t="s">
        <v>1027</v>
      </c>
      <c r="E315" s="468" t="s">
        <v>1843</v>
      </c>
      <c r="F315" s="474" t="s">
        <v>535</v>
      </c>
      <c r="G315" s="476" t="s">
        <v>537</v>
      </c>
    </row>
    <row r="316" spans="1:7">
      <c r="A316" s="471" t="s">
        <v>1781</v>
      </c>
      <c r="B316" s="472" t="s">
        <v>1844</v>
      </c>
      <c r="C316" s="471" t="s">
        <v>1845</v>
      </c>
      <c r="D316" s="473" t="s">
        <v>1027</v>
      </c>
      <c r="E316" s="468" t="s">
        <v>1846</v>
      </c>
      <c r="F316" s="474" t="s">
        <v>657</v>
      </c>
      <c r="G316" s="474" t="s">
        <v>659</v>
      </c>
    </row>
    <row r="317" spans="1:7">
      <c r="A317" s="471" t="s">
        <v>1781</v>
      </c>
      <c r="B317" s="472" t="s">
        <v>1847</v>
      </c>
      <c r="C317" s="471" t="s">
        <v>1848</v>
      </c>
      <c r="D317" s="473" t="s">
        <v>1027</v>
      </c>
      <c r="E317" s="468" t="s">
        <v>1849</v>
      </c>
      <c r="F317" s="475" t="s">
        <v>1084</v>
      </c>
      <c r="G317" s="477"/>
    </row>
    <row r="318" spans="1:7">
      <c r="A318" s="471" t="s">
        <v>1781</v>
      </c>
      <c r="B318" s="472" t="s">
        <v>1850</v>
      </c>
      <c r="C318" s="471" t="s">
        <v>1851</v>
      </c>
      <c r="D318" s="473" t="s">
        <v>1027</v>
      </c>
      <c r="E318" s="468" t="s">
        <v>1852</v>
      </c>
      <c r="F318" s="474" t="s">
        <v>748</v>
      </c>
      <c r="G318" s="478" t="s">
        <v>1404</v>
      </c>
    </row>
    <row r="319" spans="1:7">
      <c r="A319" s="471" t="s">
        <v>1781</v>
      </c>
      <c r="B319" s="472" t="s">
        <v>1853</v>
      </c>
      <c r="C319" s="471" t="s">
        <v>1854</v>
      </c>
      <c r="D319" s="473" t="s">
        <v>1027</v>
      </c>
      <c r="E319" s="468" t="s">
        <v>1855</v>
      </c>
      <c r="F319" s="474" t="s">
        <v>280</v>
      </c>
      <c r="G319" s="474" t="s">
        <v>1856</v>
      </c>
    </row>
    <row r="320" spans="1:7">
      <c r="A320" s="471" t="s">
        <v>1781</v>
      </c>
      <c r="B320" s="472" t="s">
        <v>1857</v>
      </c>
      <c r="C320" s="471" t="s">
        <v>1858</v>
      </c>
      <c r="D320" s="473" t="s">
        <v>1027</v>
      </c>
      <c r="E320" s="468" t="s">
        <v>1859</v>
      </c>
      <c r="F320" s="474" t="s">
        <v>280</v>
      </c>
      <c r="G320" s="474" t="s">
        <v>1860</v>
      </c>
    </row>
    <row r="321" spans="1:7">
      <c r="A321" s="471" t="s">
        <v>1781</v>
      </c>
      <c r="B321" s="472" t="s">
        <v>1086</v>
      </c>
      <c r="C321" s="471" t="s">
        <v>1087</v>
      </c>
      <c r="D321" s="473" t="s">
        <v>1027</v>
      </c>
      <c r="E321" s="468" t="s">
        <v>1861</v>
      </c>
      <c r="F321" s="474" t="s">
        <v>343</v>
      </c>
      <c r="G321" s="478" t="s">
        <v>352</v>
      </c>
    </row>
    <row r="322" spans="1:7">
      <c r="A322" s="471" t="s">
        <v>1781</v>
      </c>
      <c r="B322" s="472" t="s">
        <v>1089</v>
      </c>
      <c r="C322" s="471" t="s">
        <v>1090</v>
      </c>
      <c r="D322" s="473" t="s">
        <v>1027</v>
      </c>
      <c r="E322" s="468" t="s">
        <v>1862</v>
      </c>
      <c r="F322" s="474" t="s">
        <v>343</v>
      </c>
      <c r="G322" s="478" t="s">
        <v>346</v>
      </c>
    </row>
    <row r="323" spans="1:7">
      <c r="A323" s="471" t="s">
        <v>1781</v>
      </c>
      <c r="B323" s="472" t="s">
        <v>1095</v>
      </c>
      <c r="C323" s="471" t="s">
        <v>1863</v>
      </c>
      <c r="D323" s="473" t="s">
        <v>1027</v>
      </c>
      <c r="E323" s="468" t="s">
        <v>1864</v>
      </c>
      <c r="F323" s="489" t="s">
        <v>1865</v>
      </c>
      <c r="G323" s="475" t="s">
        <v>1866</v>
      </c>
    </row>
    <row r="324" spans="1:7">
      <c r="A324" s="471" t="s">
        <v>1781</v>
      </c>
      <c r="B324" s="472" t="s">
        <v>1867</v>
      </c>
      <c r="C324" s="471" t="s">
        <v>1868</v>
      </c>
      <c r="D324" s="473" t="s">
        <v>1027</v>
      </c>
      <c r="E324" s="468" t="s">
        <v>1869</v>
      </c>
      <c r="F324" s="475" t="s">
        <v>553</v>
      </c>
      <c r="G324" s="475" t="s">
        <v>564</v>
      </c>
    </row>
    <row r="325" spans="1:7">
      <c r="A325" s="471" t="s">
        <v>1781</v>
      </c>
      <c r="B325" s="472" t="s">
        <v>1870</v>
      </c>
      <c r="C325" s="471" t="s">
        <v>1871</v>
      </c>
      <c r="D325" s="473" t="s">
        <v>1027</v>
      </c>
      <c r="E325" s="468" t="s">
        <v>1872</v>
      </c>
      <c r="F325" s="475" t="s">
        <v>1084</v>
      </c>
      <c r="G325" s="477"/>
    </row>
    <row r="326" spans="1:7">
      <c r="A326" s="471" t="s">
        <v>1781</v>
      </c>
      <c r="B326" s="472" t="s">
        <v>1873</v>
      </c>
      <c r="C326" s="471" t="s">
        <v>1874</v>
      </c>
      <c r="D326" s="473" t="s">
        <v>1027</v>
      </c>
      <c r="E326" s="468" t="s">
        <v>1875</v>
      </c>
      <c r="F326" s="475" t="s">
        <v>1084</v>
      </c>
      <c r="G326" s="477"/>
    </row>
    <row r="327" spans="1:7">
      <c r="A327" s="471" t="s">
        <v>1781</v>
      </c>
      <c r="B327" s="472" t="s">
        <v>1876</v>
      </c>
      <c r="C327" s="471" t="s">
        <v>1877</v>
      </c>
      <c r="D327" s="473" t="s">
        <v>1027</v>
      </c>
      <c r="E327" s="468" t="s">
        <v>1878</v>
      </c>
      <c r="F327" s="474" t="s">
        <v>840</v>
      </c>
      <c r="G327" s="478" t="s">
        <v>1879</v>
      </c>
    </row>
    <row r="328" spans="1:7">
      <c r="A328" s="471" t="s">
        <v>1781</v>
      </c>
      <c r="B328" s="472" t="s">
        <v>1880</v>
      </c>
      <c r="C328" s="471" t="s">
        <v>1881</v>
      </c>
      <c r="D328" s="473" t="s">
        <v>1027</v>
      </c>
      <c r="E328" s="468" t="s">
        <v>1882</v>
      </c>
      <c r="F328" s="474" t="s">
        <v>760</v>
      </c>
      <c r="G328" s="478" t="s">
        <v>763</v>
      </c>
    </row>
    <row r="329" spans="1:7">
      <c r="A329" s="471" t="s">
        <v>1781</v>
      </c>
      <c r="B329" s="472" t="s">
        <v>1883</v>
      </c>
      <c r="C329" s="471" t="s">
        <v>1884</v>
      </c>
      <c r="D329" s="473" t="s">
        <v>1027</v>
      </c>
      <c r="E329" s="468" t="s">
        <v>1885</v>
      </c>
      <c r="F329" s="474" t="s">
        <v>760</v>
      </c>
      <c r="G329" s="478" t="s">
        <v>763</v>
      </c>
    </row>
    <row r="330" spans="1:7">
      <c r="A330" s="471" t="s">
        <v>1781</v>
      </c>
      <c r="B330" s="472" t="s">
        <v>1886</v>
      </c>
      <c r="C330" s="471" t="s">
        <v>1887</v>
      </c>
      <c r="D330" s="473" t="s">
        <v>1027</v>
      </c>
      <c r="E330" s="468" t="s">
        <v>1888</v>
      </c>
      <c r="F330" s="474" t="s">
        <v>760</v>
      </c>
      <c r="G330" s="478" t="s">
        <v>763</v>
      </c>
    </row>
    <row r="331" spans="1:7">
      <c r="A331" s="471" t="s">
        <v>1781</v>
      </c>
      <c r="B331" s="472" t="s">
        <v>1889</v>
      </c>
      <c r="C331" s="471" t="s">
        <v>1890</v>
      </c>
      <c r="D331" s="473" t="s">
        <v>1027</v>
      </c>
      <c r="E331" s="468" t="s">
        <v>1891</v>
      </c>
      <c r="F331" s="474" t="s">
        <v>760</v>
      </c>
      <c r="G331" s="478" t="s">
        <v>763</v>
      </c>
    </row>
    <row r="332" spans="1:7">
      <c r="A332" s="471" t="s">
        <v>1781</v>
      </c>
      <c r="B332" s="472" t="s">
        <v>1892</v>
      </c>
      <c r="C332" s="471" t="s">
        <v>1893</v>
      </c>
      <c r="D332" s="473" t="s">
        <v>1027</v>
      </c>
      <c r="E332" s="468" t="s">
        <v>1894</v>
      </c>
      <c r="F332" s="474" t="s">
        <v>760</v>
      </c>
      <c r="G332" s="478" t="s">
        <v>763</v>
      </c>
    </row>
    <row r="333" spans="1:7">
      <c r="A333" s="471" t="s">
        <v>1781</v>
      </c>
      <c r="B333" s="472" t="s">
        <v>1895</v>
      </c>
      <c r="C333" s="471" t="s">
        <v>1896</v>
      </c>
      <c r="D333" s="473" t="s">
        <v>1027</v>
      </c>
      <c r="E333" s="468" t="s">
        <v>1897</v>
      </c>
      <c r="F333" s="474" t="s">
        <v>760</v>
      </c>
      <c r="G333" s="478" t="s">
        <v>763</v>
      </c>
    </row>
    <row r="334" spans="1:7">
      <c r="A334" s="471" t="s">
        <v>1781</v>
      </c>
      <c r="B334" s="472" t="s">
        <v>1898</v>
      </c>
      <c r="C334" s="471" t="s">
        <v>1899</v>
      </c>
      <c r="D334" s="473" t="s">
        <v>1027</v>
      </c>
      <c r="E334" s="468" t="s">
        <v>1900</v>
      </c>
      <c r="F334" s="474" t="s">
        <v>760</v>
      </c>
      <c r="G334" s="478" t="s">
        <v>763</v>
      </c>
    </row>
    <row r="335" spans="1:7">
      <c r="A335" s="471" t="s">
        <v>1781</v>
      </c>
      <c r="B335" s="472" t="s">
        <v>1901</v>
      </c>
      <c r="C335" s="471" t="s">
        <v>1902</v>
      </c>
      <c r="D335" s="473" t="s">
        <v>1027</v>
      </c>
      <c r="E335" s="468" t="s">
        <v>1903</v>
      </c>
      <c r="F335" s="474" t="s">
        <v>760</v>
      </c>
      <c r="G335" s="478" t="s">
        <v>763</v>
      </c>
    </row>
    <row r="336" spans="1:7">
      <c r="A336" s="471" t="s">
        <v>1781</v>
      </c>
      <c r="B336" s="472" t="s">
        <v>1904</v>
      </c>
      <c r="C336" s="471" t="s">
        <v>1905</v>
      </c>
      <c r="D336" s="473" t="s">
        <v>1027</v>
      </c>
      <c r="E336" s="468" t="s">
        <v>1906</v>
      </c>
      <c r="F336" s="474" t="s">
        <v>760</v>
      </c>
      <c r="G336" s="478" t="s">
        <v>763</v>
      </c>
    </row>
    <row r="337" spans="1:7">
      <c r="A337" s="471" t="s">
        <v>1781</v>
      </c>
      <c r="B337" s="472" t="s">
        <v>1907</v>
      </c>
      <c r="C337" s="471" t="s">
        <v>1908</v>
      </c>
      <c r="D337" s="473" t="s">
        <v>1027</v>
      </c>
      <c r="E337" s="468" t="s">
        <v>1909</v>
      </c>
      <c r="F337" s="474" t="s">
        <v>760</v>
      </c>
      <c r="G337" s="478" t="s">
        <v>763</v>
      </c>
    </row>
    <row r="338" spans="1:7">
      <c r="A338" s="471" t="s">
        <v>1781</v>
      </c>
      <c r="B338" s="472" t="s">
        <v>1910</v>
      </c>
      <c r="C338" s="471" t="s">
        <v>1911</v>
      </c>
      <c r="D338" s="473" t="s">
        <v>1027</v>
      </c>
      <c r="E338" s="468" t="s">
        <v>1912</v>
      </c>
      <c r="F338" s="474" t="s">
        <v>760</v>
      </c>
      <c r="G338" s="478" t="s">
        <v>763</v>
      </c>
    </row>
    <row r="339" spans="1:7">
      <c r="A339" s="471" t="s">
        <v>1781</v>
      </c>
      <c r="B339" s="472" t="s">
        <v>1913</v>
      </c>
      <c r="C339" s="471" t="s">
        <v>1914</v>
      </c>
      <c r="D339" s="473" t="s">
        <v>1027</v>
      </c>
      <c r="E339" s="468" t="s">
        <v>1915</v>
      </c>
      <c r="F339" s="474" t="s">
        <v>760</v>
      </c>
      <c r="G339" s="478" t="s">
        <v>763</v>
      </c>
    </row>
    <row r="340" spans="1:7">
      <c r="A340" s="471" t="s">
        <v>1781</v>
      </c>
      <c r="B340" s="472" t="s">
        <v>1102</v>
      </c>
      <c r="C340" s="471" t="s">
        <v>1103</v>
      </c>
      <c r="D340" s="473" t="s">
        <v>1027</v>
      </c>
      <c r="E340" s="468" t="s">
        <v>1916</v>
      </c>
      <c r="F340" s="480" t="s">
        <v>1084</v>
      </c>
      <c r="G340" s="481" t="s">
        <v>1105</v>
      </c>
    </row>
    <row r="341" spans="1:7">
      <c r="A341" s="471" t="s">
        <v>1781</v>
      </c>
      <c r="B341" s="472" t="s">
        <v>1917</v>
      </c>
      <c r="C341" s="471" t="s">
        <v>1918</v>
      </c>
      <c r="D341" s="473" t="s">
        <v>1027</v>
      </c>
      <c r="E341" s="468" t="s">
        <v>1919</v>
      </c>
      <c r="F341" s="474" t="s">
        <v>760</v>
      </c>
      <c r="G341" s="478" t="s">
        <v>763</v>
      </c>
    </row>
    <row r="342" spans="1:7">
      <c r="A342" s="471" t="s">
        <v>1781</v>
      </c>
      <c r="B342" s="472" t="s">
        <v>1920</v>
      </c>
      <c r="C342" s="471" t="s">
        <v>1921</v>
      </c>
      <c r="D342" s="473" t="s">
        <v>1027</v>
      </c>
      <c r="E342" s="468" t="s">
        <v>1922</v>
      </c>
      <c r="F342" s="474" t="s">
        <v>760</v>
      </c>
      <c r="G342" s="478" t="s">
        <v>763</v>
      </c>
    </row>
    <row r="343" spans="1:7">
      <c r="A343" s="471" t="s">
        <v>1781</v>
      </c>
      <c r="B343" s="472" t="s">
        <v>1923</v>
      </c>
      <c r="C343" s="471" t="s">
        <v>1924</v>
      </c>
      <c r="D343" s="473" t="s">
        <v>1027</v>
      </c>
      <c r="E343" s="468" t="s">
        <v>1925</v>
      </c>
      <c r="F343" s="474" t="s">
        <v>1084</v>
      </c>
      <c r="G343" s="478" t="s">
        <v>530</v>
      </c>
    </row>
    <row r="344" spans="1:7">
      <c r="A344" s="471" t="s">
        <v>1781</v>
      </c>
      <c r="B344" s="472" t="s">
        <v>1926</v>
      </c>
      <c r="C344" s="471" t="s">
        <v>1927</v>
      </c>
      <c r="D344" s="473" t="s">
        <v>1027</v>
      </c>
      <c r="E344" s="468" t="s">
        <v>1928</v>
      </c>
      <c r="F344" s="474" t="s">
        <v>1084</v>
      </c>
      <c r="G344" s="478" t="s">
        <v>530</v>
      </c>
    </row>
    <row r="345" spans="1:7">
      <c r="A345" s="471" t="s">
        <v>1781</v>
      </c>
      <c r="B345" s="472" t="s">
        <v>1929</v>
      </c>
      <c r="C345" s="471" t="s">
        <v>1930</v>
      </c>
      <c r="D345" s="473" t="s">
        <v>1027</v>
      </c>
      <c r="E345" s="468" t="s">
        <v>1931</v>
      </c>
      <c r="F345" s="474" t="s">
        <v>1084</v>
      </c>
      <c r="G345" s="478" t="s">
        <v>530</v>
      </c>
    </row>
    <row r="346" spans="1:7">
      <c r="A346" s="471" t="s">
        <v>1781</v>
      </c>
      <c r="B346" s="472" t="s">
        <v>1932</v>
      </c>
      <c r="C346" s="471" t="s">
        <v>1933</v>
      </c>
      <c r="D346" s="473" t="s">
        <v>1027</v>
      </c>
      <c r="E346" s="468" t="s">
        <v>1934</v>
      </c>
      <c r="F346" s="474" t="s">
        <v>1084</v>
      </c>
      <c r="G346" s="478" t="s">
        <v>530</v>
      </c>
    </row>
    <row r="347" spans="1:7">
      <c r="A347" s="471" t="s">
        <v>1781</v>
      </c>
      <c r="B347" s="472" t="s">
        <v>1935</v>
      </c>
      <c r="C347" s="471" t="s">
        <v>1936</v>
      </c>
      <c r="D347" s="473" t="s">
        <v>1027</v>
      </c>
      <c r="E347" s="468" t="s">
        <v>1937</v>
      </c>
      <c r="F347" s="474" t="s">
        <v>1084</v>
      </c>
      <c r="G347" s="478" t="s">
        <v>530</v>
      </c>
    </row>
    <row r="348" spans="1:7">
      <c r="A348" s="471" t="s">
        <v>1781</v>
      </c>
      <c r="B348" s="472" t="s">
        <v>1938</v>
      </c>
      <c r="C348" s="471" t="s">
        <v>1939</v>
      </c>
      <c r="D348" s="473" t="s">
        <v>1027</v>
      </c>
      <c r="E348" s="468" t="s">
        <v>1940</v>
      </c>
      <c r="F348" s="474" t="s">
        <v>1084</v>
      </c>
      <c r="G348" s="478" t="s">
        <v>1941</v>
      </c>
    </row>
    <row r="349" spans="1:7">
      <c r="A349" s="471" t="s">
        <v>1781</v>
      </c>
      <c r="B349" s="472" t="s">
        <v>1942</v>
      </c>
      <c r="C349" s="471" t="s">
        <v>1943</v>
      </c>
      <c r="D349" s="473" t="s">
        <v>1027</v>
      </c>
      <c r="E349" s="468" t="s">
        <v>1944</v>
      </c>
      <c r="F349" s="474" t="s">
        <v>1084</v>
      </c>
      <c r="G349" s="478" t="s">
        <v>1945</v>
      </c>
    </row>
    <row r="350" spans="1:7">
      <c r="A350" s="471" t="s">
        <v>1781</v>
      </c>
      <c r="B350" s="472" t="s">
        <v>1946</v>
      </c>
      <c r="C350" s="471" t="s">
        <v>1947</v>
      </c>
      <c r="D350" s="473" t="s">
        <v>1027</v>
      </c>
      <c r="E350" s="468" t="s">
        <v>1948</v>
      </c>
      <c r="F350" s="474" t="s">
        <v>1084</v>
      </c>
      <c r="G350" s="478" t="s">
        <v>1949</v>
      </c>
    </row>
    <row r="351" spans="1:7">
      <c r="A351" s="471" t="s">
        <v>1781</v>
      </c>
      <c r="B351" s="472" t="s">
        <v>1950</v>
      </c>
      <c r="C351" s="471" t="s">
        <v>1951</v>
      </c>
      <c r="D351" s="473" t="s">
        <v>1027</v>
      </c>
      <c r="E351" s="468" t="s">
        <v>1952</v>
      </c>
      <c r="F351" s="479" t="s">
        <v>1084</v>
      </c>
      <c r="G351" s="477"/>
    </row>
    <row r="352" spans="1:7">
      <c r="A352" s="471" t="s">
        <v>1781</v>
      </c>
      <c r="B352" s="485" t="s">
        <v>1953</v>
      </c>
      <c r="C352" s="471" t="s">
        <v>1954</v>
      </c>
      <c r="D352" s="473" t="s">
        <v>1027</v>
      </c>
      <c r="E352" s="468" t="s">
        <v>1955</v>
      </c>
      <c r="F352" s="474" t="s">
        <v>1084</v>
      </c>
      <c r="G352" s="478" t="s">
        <v>1949</v>
      </c>
    </row>
    <row r="353" spans="1:7">
      <c r="A353" s="471" t="s">
        <v>1781</v>
      </c>
      <c r="B353" s="472" t="s">
        <v>1956</v>
      </c>
      <c r="C353" s="471" t="s">
        <v>1957</v>
      </c>
      <c r="D353" s="473" t="s">
        <v>1027</v>
      </c>
      <c r="E353" s="468" t="s">
        <v>1958</v>
      </c>
      <c r="F353" s="475" t="s">
        <v>1084</v>
      </c>
      <c r="G353" s="477"/>
    </row>
    <row r="354" spans="1:7">
      <c r="A354" s="471" t="s">
        <v>1781</v>
      </c>
      <c r="B354" s="472" t="s">
        <v>1959</v>
      </c>
      <c r="C354" s="471" t="s">
        <v>1960</v>
      </c>
      <c r="D354" s="473" t="s">
        <v>1027</v>
      </c>
      <c r="E354" s="468" t="s">
        <v>1961</v>
      </c>
      <c r="F354" s="474" t="s">
        <v>1084</v>
      </c>
      <c r="G354" s="478" t="s">
        <v>1962</v>
      </c>
    </row>
    <row r="355" spans="1:7">
      <c r="A355" s="471" t="s">
        <v>1781</v>
      </c>
      <c r="B355" s="472" t="s">
        <v>1963</v>
      </c>
      <c r="C355" s="471" t="s">
        <v>1964</v>
      </c>
      <c r="D355" s="473" t="s">
        <v>1027</v>
      </c>
      <c r="E355" s="468" t="s">
        <v>1965</v>
      </c>
      <c r="F355" s="474" t="s">
        <v>1084</v>
      </c>
      <c r="G355" s="474" t="s">
        <v>1966</v>
      </c>
    </row>
    <row r="356" spans="1:7">
      <c r="A356" s="471" t="s">
        <v>1781</v>
      </c>
      <c r="B356" s="472" t="s">
        <v>1967</v>
      </c>
      <c r="C356" s="471" t="s">
        <v>1968</v>
      </c>
      <c r="D356" s="473" t="s">
        <v>1027</v>
      </c>
      <c r="E356" s="468" t="s">
        <v>1969</v>
      </c>
      <c r="F356" s="475" t="s">
        <v>1084</v>
      </c>
      <c r="G356" s="474" t="s">
        <v>1970</v>
      </c>
    </row>
    <row r="357" spans="1:7">
      <c r="A357" s="471" t="s">
        <v>1781</v>
      </c>
      <c r="B357" s="472" t="s">
        <v>1971</v>
      </c>
      <c r="C357" s="471" t="s">
        <v>1972</v>
      </c>
      <c r="D357" s="473" t="s">
        <v>1027</v>
      </c>
      <c r="E357" s="468" t="s">
        <v>1973</v>
      </c>
      <c r="F357" s="475" t="s">
        <v>1084</v>
      </c>
      <c r="G357" s="477"/>
    </row>
    <row r="358" spans="1:7">
      <c r="A358" s="471" t="s">
        <v>1781</v>
      </c>
      <c r="B358" s="472" t="s">
        <v>1974</v>
      </c>
      <c r="C358" s="471" t="s">
        <v>1975</v>
      </c>
      <c r="D358" s="473" t="s">
        <v>1027</v>
      </c>
      <c r="E358" s="468" t="s">
        <v>1976</v>
      </c>
      <c r="F358" s="479" t="s">
        <v>1084</v>
      </c>
      <c r="G358" s="477"/>
    </row>
    <row r="359" spans="1:7">
      <c r="A359" s="471" t="s">
        <v>1781</v>
      </c>
      <c r="B359" s="472" t="s">
        <v>1977</v>
      </c>
      <c r="C359" s="471" t="s">
        <v>1978</v>
      </c>
      <c r="D359" s="473" t="s">
        <v>1027</v>
      </c>
      <c r="E359" s="468" t="s">
        <v>1979</v>
      </c>
      <c r="F359" s="475" t="s">
        <v>1084</v>
      </c>
      <c r="G359" s="474" t="s">
        <v>1980</v>
      </c>
    </row>
    <row r="360" spans="1:7">
      <c r="A360" s="471" t="s">
        <v>1781</v>
      </c>
      <c r="B360" s="472" t="s">
        <v>1113</v>
      </c>
      <c r="C360" s="471" t="s">
        <v>1114</v>
      </c>
      <c r="D360" s="473" t="s">
        <v>1027</v>
      </c>
      <c r="E360" s="468" t="s">
        <v>1981</v>
      </c>
      <c r="F360" s="475" t="s">
        <v>1084</v>
      </c>
      <c r="G360" s="478" t="s">
        <v>1982</v>
      </c>
    </row>
    <row r="361" spans="1:7">
      <c r="A361" s="471" t="s">
        <v>1781</v>
      </c>
      <c r="B361" s="472" t="s">
        <v>1116</v>
      </c>
      <c r="C361" s="471" t="s">
        <v>1117</v>
      </c>
      <c r="D361" s="473" t="s">
        <v>1027</v>
      </c>
      <c r="E361" s="468" t="s">
        <v>1983</v>
      </c>
      <c r="F361" s="475" t="s">
        <v>612</v>
      </c>
      <c r="G361" s="475" t="s">
        <v>1073</v>
      </c>
    </row>
    <row r="362" spans="1:7">
      <c r="A362" s="471" t="s">
        <v>1781</v>
      </c>
      <c r="B362" s="472" t="s">
        <v>1186</v>
      </c>
      <c r="C362" s="471" t="s">
        <v>1187</v>
      </c>
      <c r="D362" s="473" t="s">
        <v>1027</v>
      </c>
      <c r="E362" s="468" t="s">
        <v>1984</v>
      </c>
      <c r="F362" s="474" t="s">
        <v>1029</v>
      </c>
      <c r="G362" s="477"/>
    </row>
    <row r="363" spans="1:7">
      <c r="A363" s="471" t="s">
        <v>1781</v>
      </c>
      <c r="B363" s="472" t="s">
        <v>1985</v>
      </c>
      <c r="C363" s="471" t="s">
        <v>1986</v>
      </c>
      <c r="D363" s="473" t="s">
        <v>1027</v>
      </c>
      <c r="E363" s="468" t="s">
        <v>1987</v>
      </c>
      <c r="F363" s="474" t="s">
        <v>1029</v>
      </c>
      <c r="G363" s="477"/>
    </row>
    <row r="364" spans="1:7">
      <c r="A364" s="461" t="s">
        <v>1988</v>
      </c>
      <c r="B364" s="462"/>
      <c r="C364" s="462" t="s">
        <v>1022</v>
      </c>
      <c r="D364" s="463"/>
      <c r="E364" s="468" t="s">
        <v>1989</v>
      </c>
      <c r="F364" s="469"/>
      <c r="G364" s="470"/>
    </row>
    <row r="365" spans="1:7">
      <c r="A365" s="471" t="s">
        <v>1988</v>
      </c>
      <c r="B365" s="485" t="s">
        <v>1990</v>
      </c>
      <c r="C365" s="471" t="s">
        <v>1991</v>
      </c>
      <c r="D365" s="473"/>
      <c r="E365" s="468" t="s">
        <v>1992</v>
      </c>
      <c r="F365" s="474" t="s">
        <v>1029</v>
      </c>
      <c r="G365" s="477"/>
    </row>
    <row r="366" spans="1:7">
      <c r="A366" s="471" t="s">
        <v>1988</v>
      </c>
      <c r="B366" s="485" t="s">
        <v>1993</v>
      </c>
      <c r="C366" s="471" t="s">
        <v>1994</v>
      </c>
      <c r="D366" s="473"/>
      <c r="E366" s="468" t="s">
        <v>1995</v>
      </c>
      <c r="F366" s="474" t="s">
        <v>1029</v>
      </c>
      <c r="G366" s="477"/>
    </row>
    <row r="367" spans="1:7">
      <c r="A367" s="471" t="s">
        <v>1988</v>
      </c>
      <c r="B367" s="485" t="s">
        <v>1996</v>
      </c>
      <c r="C367" s="471" t="s">
        <v>1997</v>
      </c>
      <c r="D367" s="473"/>
      <c r="E367" s="468" t="s">
        <v>1998</v>
      </c>
      <c r="F367" s="474" t="s">
        <v>1029</v>
      </c>
      <c r="G367" s="477"/>
    </row>
    <row r="368" spans="1:7">
      <c r="A368" s="471" t="s">
        <v>1988</v>
      </c>
      <c r="B368" s="485" t="s">
        <v>1999</v>
      </c>
      <c r="C368" s="471" t="s">
        <v>2000</v>
      </c>
      <c r="D368" s="473"/>
      <c r="E368" s="468" t="s">
        <v>2001</v>
      </c>
      <c r="F368" s="474" t="s">
        <v>1029</v>
      </c>
      <c r="G368" s="477"/>
    </row>
    <row r="369" spans="1:7">
      <c r="A369" s="471" t="s">
        <v>1988</v>
      </c>
      <c r="B369" s="472" t="s">
        <v>1030</v>
      </c>
      <c r="C369" s="471" t="s">
        <v>1031</v>
      </c>
      <c r="D369" s="473"/>
      <c r="E369" s="468" t="s">
        <v>2002</v>
      </c>
      <c r="F369" s="479" t="s">
        <v>664</v>
      </c>
      <c r="G369" s="478" t="s">
        <v>2003</v>
      </c>
    </row>
    <row r="370" spans="1:7">
      <c r="A370" s="471" t="s">
        <v>1988</v>
      </c>
      <c r="B370" s="472" t="s">
        <v>2004</v>
      </c>
      <c r="C370" s="471" t="s">
        <v>2005</v>
      </c>
      <c r="D370" s="473" t="s">
        <v>1027</v>
      </c>
      <c r="E370" s="468" t="s">
        <v>2006</v>
      </c>
      <c r="F370" s="475" t="s">
        <v>664</v>
      </c>
      <c r="G370" s="478" t="s">
        <v>2003</v>
      </c>
    </row>
    <row r="371" spans="1:7">
      <c r="A371" s="471" t="s">
        <v>1988</v>
      </c>
      <c r="B371" s="472" t="s">
        <v>2007</v>
      </c>
      <c r="C371" s="471" t="s">
        <v>2008</v>
      </c>
      <c r="D371" s="473" t="s">
        <v>1027</v>
      </c>
      <c r="E371" s="468" t="s">
        <v>2009</v>
      </c>
      <c r="F371" s="475" t="s">
        <v>664</v>
      </c>
      <c r="G371" s="478" t="s">
        <v>2003</v>
      </c>
    </row>
    <row r="372" spans="1:7">
      <c r="A372" s="471" t="s">
        <v>1988</v>
      </c>
      <c r="B372" s="472" t="s">
        <v>1351</v>
      </c>
      <c r="C372" s="471" t="s">
        <v>1352</v>
      </c>
      <c r="D372" s="473" t="s">
        <v>1027</v>
      </c>
      <c r="E372" s="468" t="s">
        <v>2010</v>
      </c>
      <c r="F372" s="475" t="s">
        <v>1354</v>
      </c>
      <c r="G372" s="475" t="s">
        <v>1355</v>
      </c>
    </row>
    <row r="373" spans="1:7">
      <c r="A373" s="471" t="s">
        <v>1988</v>
      </c>
      <c r="B373" s="472" t="s">
        <v>495</v>
      </c>
      <c r="C373" s="471" t="s">
        <v>2011</v>
      </c>
      <c r="D373" s="473" t="s">
        <v>1027</v>
      </c>
      <c r="E373" s="468" t="s">
        <v>2012</v>
      </c>
      <c r="F373" s="475" t="s">
        <v>495</v>
      </c>
      <c r="G373" s="477"/>
    </row>
    <row r="374" spans="1:7">
      <c r="A374" s="471" t="s">
        <v>1988</v>
      </c>
      <c r="B374" s="472" t="s">
        <v>1074</v>
      </c>
      <c r="C374" s="471" t="s">
        <v>1075</v>
      </c>
      <c r="D374" s="473" t="s">
        <v>1027</v>
      </c>
      <c r="E374" s="468" t="s">
        <v>2013</v>
      </c>
      <c r="F374" s="475" t="s">
        <v>664</v>
      </c>
      <c r="G374" s="477"/>
    </row>
    <row r="375" spans="1:7">
      <c r="A375" s="471" t="s">
        <v>1988</v>
      </c>
      <c r="B375" s="472" t="s">
        <v>1077</v>
      </c>
      <c r="C375" s="471" t="s">
        <v>1078</v>
      </c>
      <c r="D375" s="473" t="s">
        <v>1027</v>
      </c>
      <c r="E375" s="468" t="s">
        <v>2014</v>
      </c>
      <c r="F375" s="475" t="s">
        <v>664</v>
      </c>
      <c r="G375" s="477"/>
    </row>
    <row r="376" spans="1:7">
      <c r="A376" s="471" t="s">
        <v>1988</v>
      </c>
      <c r="B376" s="472" t="s">
        <v>2015</v>
      </c>
      <c r="C376" s="471" t="s">
        <v>2016</v>
      </c>
      <c r="D376" s="473" t="s">
        <v>1027</v>
      </c>
      <c r="E376" s="468" t="s">
        <v>2017</v>
      </c>
      <c r="F376" s="475" t="s">
        <v>664</v>
      </c>
      <c r="G376" s="477"/>
    </row>
    <row r="377" spans="1:7">
      <c r="A377" s="471" t="s">
        <v>1988</v>
      </c>
      <c r="B377" s="472" t="s">
        <v>1080</v>
      </c>
      <c r="C377" s="471" t="s">
        <v>1081</v>
      </c>
      <c r="D377" s="473" t="s">
        <v>1027</v>
      </c>
      <c r="E377" s="468" t="s">
        <v>2018</v>
      </c>
      <c r="F377" s="474" t="s">
        <v>664</v>
      </c>
      <c r="G377" s="477"/>
    </row>
    <row r="378" spans="1:7">
      <c r="A378" s="471" t="s">
        <v>1988</v>
      </c>
      <c r="B378" s="472" t="s">
        <v>1221</v>
      </c>
      <c r="C378" s="471" t="s">
        <v>1222</v>
      </c>
      <c r="D378" s="473" t="s">
        <v>1027</v>
      </c>
      <c r="E378" s="468" t="s">
        <v>2019</v>
      </c>
      <c r="F378" s="475" t="s">
        <v>664</v>
      </c>
      <c r="G378" s="477"/>
    </row>
    <row r="379" spans="1:7">
      <c r="A379" s="471" t="s">
        <v>1988</v>
      </c>
      <c r="B379" s="472" t="s">
        <v>1714</v>
      </c>
      <c r="C379" s="471" t="s">
        <v>1715</v>
      </c>
      <c r="D379" s="473" t="s">
        <v>1027</v>
      </c>
      <c r="E379" s="468" t="s">
        <v>2020</v>
      </c>
      <c r="F379" s="475" t="s">
        <v>664</v>
      </c>
      <c r="G379" s="477"/>
    </row>
    <row r="380" spans="1:7">
      <c r="A380" s="471" t="s">
        <v>1988</v>
      </c>
      <c r="B380" s="472" t="s">
        <v>1224</v>
      </c>
      <c r="C380" s="471" t="s">
        <v>1225</v>
      </c>
      <c r="D380" s="473" t="s">
        <v>1027</v>
      </c>
      <c r="E380" s="468" t="s">
        <v>2021</v>
      </c>
      <c r="F380" s="474" t="s">
        <v>664</v>
      </c>
      <c r="G380" s="477"/>
    </row>
    <row r="381" spans="1:7">
      <c r="A381" s="471" t="s">
        <v>1988</v>
      </c>
      <c r="B381" s="472" t="s">
        <v>2022</v>
      </c>
      <c r="C381" s="471" t="s">
        <v>2023</v>
      </c>
      <c r="D381" s="473"/>
      <c r="E381" s="468" t="s">
        <v>2024</v>
      </c>
      <c r="F381" s="479" t="s">
        <v>1029</v>
      </c>
      <c r="G381" s="477"/>
    </row>
    <row r="382" spans="1:7">
      <c r="A382" s="471" t="s">
        <v>1988</v>
      </c>
      <c r="B382" s="472" t="s">
        <v>2025</v>
      </c>
      <c r="C382" s="471" t="s">
        <v>2026</v>
      </c>
      <c r="D382" s="473" t="s">
        <v>1027</v>
      </c>
      <c r="E382" s="468" t="s">
        <v>2027</v>
      </c>
      <c r="F382" s="475" t="s">
        <v>1354</v>
      </c>
      <c r="G382" s="475" t="s">
        <v>1355</v>
      </c>
    </row>
    <row r="383" spans="1:7">
      <c r="A383" s="471" t="s">
        <v>1988</v>
      </c>
      <c r="B383" s="472" t="s">
        <v>2028</v>
      </c>
      <c r="C383" s="471" t="s">
        <v>2029</v>
      </c>
      <c r="D383" s="473"/>
      <c r="E383" s="468" t="s">
        <v>2030</v>
      </c>
      <c r="F383" s="474" t="s">
        <v>664</v>
      </c>
      <c r="G383" s="477"/>
    </row>
    <row r="384" spans="1:7">
      <c r="A384" s="471" t="s">
        <v>1988</v>
      </c>
      <c r="B384" s="472" t="s">
        <v>1245</v>
      </c>
      <c r="C384" s="471" t="s">
        <v>1246</v>
      </c>
      <c r="D384" s="473"/>
      <c r="E384" s="468" t="s">
        <v>2031</v>
      </c>
      <c r="F384" s="474" t="s">
        <v>221</v>
      </c>
      <c r="G384" s="474" t="s">
        <v>269</v>
      </c>
    </row>
    <row r="385" spans="1:7">
      <c r="A385" s="471" t="s">
        <v>1988</v>
      </c>
      <c r="B385" s="472" t="s">
        <v>1248</v>
      </c>
      <c r="C385" s="471" t="s">
        <v>1249</v>
      </c>
      <c r="D385" s="473"/>
      <c r="E385" s="468" t="s">
        <v>2032</v>
      </c>
      <c r="F385" s="474" t="s">
        <v>221</v>
      </c>
      <c r="G385" s="474" t="s">
        <v>269</v>
      </c>
    </row>
    <row r="386" spans="1:7">
      <c r="A386" s="471" t="s">
        <v>1988</v>
      </c>
      <c r="B386" s="472" t="s">
        <v>1296</v>
      </c>
      <c r="C386" s="471" t="s">
        <v>1297</v>
      </c>
      <c r="D386" s="473"/>
      <c r="E386" s="468" t="s">
        <v>2033</v>
      </c>
      <c r="F386" s="479" t="s">
        <v>221</v>
      </c>
      <c r="G386" s="478" t="s">
        <v>284</v>
      </c>
    </row>
    <row r="387" spans="1:7">
      <c r="A387" s="471" t="s">
        <v>1988</v>
      </c>
      <c r="B387" s="472" t="s">
        <v>1682</v>
      </c>
      <c r="C387" s="471" t="s">
        <v>1683</v>
      </c>
      <c r="D387" s="473"/>
      <c r="E387" s="468" t="s">
        <v>2034</v>
      </c>
      <c r="F387" s="475" t="s">
        <v>1033</v>
      </c>
      <c r="G387" s="475" t="s">
        <v>425</v>
      </c>
    </row>
    <row r="388" spans="1:7">
      <c r="A388" s="471" t="s">
        <v>1988</v>
      </c>
      <c r="B388" s="472" t="s">
        <v>1803</v>
      </c>
      <c r="C388" s="471" t="s">
        <v>1804</v>
      </c>
      <c r="D388" s="473"/>
      <c r="E388" s="468" t="s">
        <v>2035</v>
      </c>
      <c r="F388" s="474" t="s">
        <v>1084</v>
      </c>
      <c r="G388" s="477"/>
    </row>
    <row r="389" spans="1:7">
      <c r="A389" s="471" t="s">
        <v>1988</v>
      </c>
      <c r="B389" s="472" t="s">
        <v>1061</v>
      </c>
      <c r="C389" s="471" t="s">
        <v>1062</v>
      </c>
      <c r="D389" s="473" t="s">
        <v>1027</v>
      </c>
      <c r="E389" s="468" t="s">
        <v>2036</v>
      </c>
      <c r="F389" s="475" t="s">
        <v>664</v>
      </c>
      <c r="G389" s="477"/>
    </row>
    <row r="390" spans="1:7">
      <c r="A390" s="471" t="s">
        <v>1988</v>
      </c>
      <c r="B390" s="472" t="s">
        <v>1853</v>
      </c>
      <c r="C390" s="471" t="s">
        <v>1854</v>
      </c>
      <c r="D390" s="473"/>
      <c r="E390" s="468" t="s">
        <v>2037</v>
      </c>
      <c r="F390" s="474" t="s">
        <v>280</v>
      </c>
      <c r="G390" s="474" t="s">
        <v>1856</v>
      </c>
    </row>
    <row r="391" spans="1:7">
      <c r="A391" s="471" t="s">
        <v>1988</v>
      </c>
      <c r="B391" s="472" t="s">
        <v>1095</v>
      </c>
      <c r="C391" s="471" t="s">
        <v>1863</v>
      </c>
      <c r="D391" s="473" t="s">
        <v>1027</v>
      </c>
      <c r="E391" s="468" t="s">
        <v>2038</v>
      </c>
      <c r="F391" s="489" t="s">
        <v>1865</v>
      </c>
      <c r="G391" s="475" t="s">
        <v>1866</v>
      </c>
    </row>
    <row r="392" spans="1:7">
      <c r="A392" s="471" t="s">
        <v>1988</v>
      </c>
      <c r="B392" s="472" t="s">
        <v>1092</v>
      </c>
      <c r="C392" s="471" t="s">
        <v>1093</v>
      </c>
      <c r="D392" s="473"/>
      <c r="E392" s="468" t="s">
        <v>2039</v>
      </c>
      <c r="F392" s="474" t="s">
        <v>1095</v>
      </c>
      <c r="G392" s="474" t="s">
        <v>2040</v>
      </c>
    </row>
    <row r="393" spans="1:7">
      <c r="A393" s="471" t="s">
        <v>1988</v>
      </c>
      <c r="B393" s="472" t="s">
        <v>1099</v>
      </c>
      <c r="C393" s="471" t="s">
        <v>1100</v>
      </c>
      <c r="D393" s="473"/>
      <c r="E393" s="468" t="s">
        <v>2041</v>
      </c>
      <c r="F393" s="474" t="s">
        <v>1095</v>
      </c>
      <c r="G393" s="474" t="s">
        <v>2040</v>
      </c>
    </row>
    <row r="394" spans="1:7">
      <c r="A394" s="471" t="s">
        <v>1988</v>
      </c>
      <c r="B394" s="472" t="s">
        <v>2042</v>
      </c>
      <c r="C394" s="471" t="s">
        <v>2043</v>
      </c>
      <c r="D394" s="473" t="s">
        <v>1027</v>
      </c>
      <c r="E394" s="468" t="s">
        <v>2044</v>
      </c>
      <c r="F394" s="475" t="s">
        <v>1095</v>
      </c>
      <c r="G394" s="474" t="s">
        <v>2040</v>
      </c>
    </row>
    <row r="395" spans="1:7">
      <c r="A395" s="471" t="s">
        <v>1988</v>
      </c>
      <c r="B395" s="472" t="s">
        <v>2045</v>
      </c>
      <c r="C395" s="471" t="s">
        <v>2046</v>
      </c>
      <c r="D395" s="473" t="s">
        <v>1027</v>
      </c>
      <c r="E395" s="468" t="s">
        <v>2047</v>
      </c>
      <c r="F395" s="475" t="s">
        <v>1095</v>
      </c>
      <c r="G395" s="474" t="s">
        <v>2040</v>
      </c>
    </row>
    <row r="396" spans="1:7">
      <c r="A396" s="471" t="s">
        <v>1988</v>
      </c>
      <c r="B396" s="472" t="s">
        <v>1102</v>
      </c>
      <c r="C396" s="471" t="s">
        <v>1103</v>
      </c>
      <c r="D396" s="473"/>
      <c r="E396" s="468" t="s">
        <v>2048</v>
      </c>
      <c r="F396" s="480" t="s">
        <v>1084</v>
      </c>
      <c r="G396" s="481" t="s">
        <v>1105</v>
      </c>
    </row>
    <row r="397" spans="1:7">
      <c r="A397" s="471" t="s">
        <v>1988</v>
      </c>
      <c r="B397" s="472" t="s">
        <v>1963</v>
      </c>
      <c r="C397" s="471" t="s">
        <v>1964</v>
      </c>
      <c r="D397" s="473"/>
      <c r="E397" s="468" t="s">
        <v>2049</v>
      </c>
      <c r="F397" s="479" t="s">
        <v>1084</v>
      </c>
      <c r="G397" s="478" t="s">
        <v>1966</v>
      </c>
    </row>
    <row r="398" spans="1:7">
      <c r="A398" s="471" t="s">
        <v>1988</v>
      </c>
      <c r="B398" s="472" t="s">
        <v>1106</v>
      </c>
      <c r="C398" s="471" t="s">
        <v>1107</v>
      </c>
      <c r="D398" s="473"/>
      <c r="E398" s="468" t="s">
        <v>2050</v>
      </c>
      <c r="F398" s="480" t="s">
        <v>612</v>
      </c>
      <c r="G398" s="490" t="s">
        <v>1109</v>
      </c>
    </row>
    <row r="399" spans="1:7">
      <c r="A399" s="471" t="s">
        <v>1988</v>
      </c>
      <c r="B399" s="472" t="s">
        <v>1146</v>
      </c>
      <c r="C399" s="471" t="s">
        <v>1147</v>
      </c>
      <c r="D399" s="473"/>
      <c r="E399" s="468" t="s">
        <v>2051</v>
      </c>
      <c r="F399" s="480" t="s">
        <v>612</v>
      </c>
      <c r="G399" s="490" t="s">
        <v>1109</v>
      </c>
    </row>
    <row r="400" spans="1:7">
      <c r="A400" s="471" t="s">
        <v>1988</v>
      </c>
      <c r="B400" s="472" t="s">
        <v>1150</v>
      </c>
      <c r="C400" s="471" t="s">
        <v>1151</v>
      </c>
      <c r="D400" s="473"/>
      <c r="E400" s="468" t="s">
        <v>2052</v>
      </c>
      <c r="F400" s="480" t="s">
        <v>612</v>
      </c>
      <c r="G400" s="490" t="s">
        <v>1073</v>
      </c>
    </row>
    <row r="401" spans="1:7">
      <c r="A401" s="471" t="s">
        <v>1988</v>
      </c>
      <c r="B401" s="472" t="s">
        <v>1180</v>
      </c>
      <c r="C401" s="471" t="s">
        <v>1181</v>
      </c>
      <c r="D401" s="473"/>
      <c r="E401" s="468" t="s">
        <v>2053</v>
      </c>
      <c r="F401" s="476" t="s">
        <v>1029</v>
      </c>
      <c r="G401" s="477"/>
    </row>
    <row r="402" spans="1:7">
      <c r="A402" s="471" t="s">
        <v>1988</v>
      </c>
      <c r="B402" s="472" t="s">
        <v>1183</v>
      </c>
      <c r="C402" s="471" t="s">
        <v>1184</v>
      </c>
      <c r="D402" s="473"/>
      <c r="E402" s="468" t="s">
        <v>2054</v>
      </c>
      <c r="F402" s="476" t="s">
        <v>1029</v>
      </c>
      <c r="G402" s="477"/>
    </row>
    <row r="403" spans="1:7">
      <c r="A403" s="471" t="s">
        <v>2055</v>
      </c>
      <c r="B403" s="472" t="s">
        <v>1030</v>
      </c>
      <c r="C403" s="471" t="s">
        <v>1031</v>
      </c>
      <c r="D403" s="491"/>
      <c r="E403" s="468" t="s">
        <v>2056</v>
      </c>
      <c r="F403" s="476" t="s">
        <v>1029</v>
      </c>
      <c r="G403" s="477"/>
    </row>
    <row r="404" spans="1:7">
      <c r="A404" s="471" t="s">
        <v>2055</v>
      </c>
      <c r="B404" s="472" t="s">
        <v>2057</v>
      </c>
      <c r="C404" s="471" t="s">
        <v>2058</v>
      </c>
      <c r="D404" s="491"/>
      <c r="E404" s="468" t="s">
        <v>2059</v>
      </c>
      <c r="F404" s="474" t="s">
        <v>1029</v>
      </c>
      <c r="G404" s="477"/>
    </row>
    <row r="405" spans="1:7">
      <c r="A405" s="471" t="s">
        <v>2055</v>
      </c>
      <c r="B405" s="472" t="s">
        <v>2060</v>
      </c>
      <c r="C405" s="471" t="s">
        <v>2061</v>
      </c>
      <c r="D405" s="491"/>
      <c r="E405" s="468" t="s">
        <v>2062</v>
      </c>
      <c r="F405" s="474" t="s">
        <v>1029</v>
      </c>
      <c r="G405" s="477"/>
    </row>
    <row r="406" spans="1:7">
      <c r="A406" s="471" t="s">
        <v>2055</v>
      </c>
      <c r="B406" s="472" t="s">
        <v>2063</v>
      </c>
      <c r="C406" s="471" t="s">
        <v>2064</v>
      </c>
      <c r="D406" s="491"/>
      <c r="E406" s="468" t="s">
        <v>2065</v>
      </c>
      <c r="F406" s="474" t="s">
        <v>1029</v>
      </c>
      <c r="G406" s="477"/>
    </row>
    <row r="407" spans="1:7">
      <c r="A407" s="471" t="s">
        <v>2055</v>
      </c>
      <c r="B407" s="472" t="s">
        <v>1061</v>
      </c>
      <c r="C407" s="471" t="s">
        <v>1062</v>
      </c>
      <c r="D407" s="491"/>
      <c r="E407" s="468" t="s">
        <v>2066</v>
      </c>
      <c r="F407" s="476" t="s">
        <v>1029</v>
      </c>
      <c r="G407" s="477"/>
    </row>
    <row r="408" spans="1:7">
      <c r="A408" s="492" t="s">
        <v>2055</v>
      </c>
      <c r="B408" s="493"/>
      <c r="C408" s="467" t="s">
        <v>1022</v>
      </c>
      <c r="D408" s="463"/>
      <c r="E408" s="468" t="s">
        <v>2067</v>
      </c>
      <c r="F408" s="469"/>
      <c r="G408" s="470"/>
    </row>
    <row r="409" spans="1:7">
      <c r="A409" s="461" t="s">
        <v>2068</v>
      </c>
      <c r="B409" s="462"/>
      <c r="C409" s="462" t="s">
        <v>1022</v>
      </c>
      <c r="D409" s="463"/>
      <c r="E409" s="468" t="s">
        <v>2069</v>
      </c>
      <c r="F409" s="469"/>
      <c r="G409" s="470"/>
    </row>
    <row r="410" spans="1:7">
      <c r="A410" s="471" t="s">
        <v>2068</v>
      </c>
      <c r="B410" s="472" t="s">
        <v>2070</v>
      </c>
      <c r="C410" s="471" t="s">
        <v>2071</v>
      </c>
      <c r="D410" s="491"/>
      <c r="E410" s="468" t="s">
        <v>2072</v>
      </c>
      <c r="F410" s="476" t="s">
        <v>553</v>
      </c>
      <c r="G410" s="477"/>
    </row>
    <row r="411" spans="1:7">
      <c r="A411" s="471" t="s">
        <v>2068</v>
      </c>
      <c r="B411" s="472" t="s">
        <v>1025</v>
      </c>
      <c r="C411" s="471" t="s">
        <v>1026</v>
      </c>
      <c r="D411" s="491"/>
      <c r="E411" s="468" t="s">
        <v>2073</v>
      </c>
      <c r="F411" s="474" t="s">
        <v>1029</v>
      </c>
      <c r="G411" s="477"/>
    </row>
    <row r="412" spans="1:7">
      <c r="A412" s="471" t="s">
        <v>2068</v>
      </c>
      <c r="B412" s="472" t="s">
        <v>1030</v>
      </c>
      <c r="C412" s="471" t="s">
        <v>1031</v>
      </c>
      <c r="D412" s="491"/>
      <c r="E412" s="468" t="s">
        <v>2074</v>
      </c>
      <c r="F412" s="494" t="s">
        <v>439</v>
      </c>
      <c r="G412" s="477"/>
    </row>
    <row r="413" spans="1:7">
      <c r="A413" s="471" t="s">
        <v>2068</v>
      </c>
      <c r="B413" s="472" t="s">
        <v>2075</v>
      </c>
      <c r="C413" s="471" t="s">
        <v>2076</v>
      </c>
      <c r="D413" s="491"/>
      <c r="E413" s="468" t="s">
        <v>2077</v>
      </c>
      <c r="F413" s="476" t="s">
        <v>439</v>
      </c>
      <c r="G413" s="477"/>
    </row>
    <row r="414" spans="1:7">
      <c r="A414" s="471" t="s">
        <v>2068</v>
      </c>
      <c r="B414" s="472" t="s">
        <v>2078</v>
      </c>
      <c r="C414" s="471" t="s">
        <v>2079</v>
      </c>
      <c r="D414" s="473" t="s">
        <v>1027</v>
      </c>
      <c r="E414" s="468" t="s">
        <v>2080</v>
      </c>
      <c r="F414" s="475" t="s">
        <v>332</v>
      </c>
      <c r="G414" s="475" t="s">
        <v>335</v>
      </c>
    </row>
    <row r="415" spans="1:7">
      <c r="A415" s="471" t="s">
        <v>2068</v>
      </c>
      <c r="B415" s="472" t="s">
        <v>2081</v>
      </c>
      <c r="C415" s="471" t="s">
        <v>2082</v>
      </c>
      <c r="D415" s="491"/>
      <c r="E415" s="468" t="s">
        <v>2083</v>
      </c>
      <c r="F415" s="476" t="s">
        <v>602</v>
      </c>
      <c r="G415" s="477"/>
    </row>
    <row r="416" spans="1:7">
      <c r="A416" s="471" t="s">
        <v>2068</v>
      </c>
      <c r="B416" s="472" t="s">
        <v>2084</v>
      </c>
      <c r="C416" s="471" t="s">
        <v>2085</v>
      </c>
      <c r="D416" s="473" t="s">
        <v>1027</v>
      </c>
      <c r="E416" s="468" t="s">
        <v>2086</v>
      </c>
      <c r="F416" s="475" t="s">
        <v>408</v>
      </c>
      <c r="G416" s="478" t="s">
        <v>2087</v>
      </c>
    </row>
    <row r="417" spans="1:7">
      <c r="A417" s="471" t="s">
        <v>2068</v>
      </c>
      <c r="B417" s="472" t="s">
        <v>2088</v>
      </c>
      <c r="C417" s="471" t="s">
        <v>2089</v>
      </c>
      <c r="D417" s="473" t="s">
        <v>1027</v>
      </c>
      <c r="E417" s="468" t="s">
        <v>2090</v>
      </c>
      <c r="F417" s="475" t="s">
        <v>408</v>
      </c>
      <c r="G417" s="478" t="s">
        <v>709</v>
      </c>
    </row>
    <row r="418" spans="1:7">
      <c r="A418" s="471" t="s">
        <v>2068</v>
      </c>
      <c r="B418" s="472" t="s">
        <v>2091</v>
      </c>
      <c r="C418" s="471" t="s">
        <v>2092</v>
      </c>
      <c r="D418" s="473" t="s">
        <v>1027</v>
      </c>
      <c r="E418" s="468" t="s">
        <v>2093</v>
      </c>
      <c r="F418" s="475" t="s">
        <v>602</v>
      </c>
      <c r="G418" s="477"/>
    </row>
    <row r="419" spans="1:7">
      <c r="A419" s="471" t="s">
        <v>2068</v>
      </c>
      <c r="B419" s="472" t="s">
        <v>2094</v>
      </c>
      <c r="C419" s="471" t="s">
        <v>2095</v>
      </c>
      <c r="D419" s="473" t="s">
        <v>1027</v>
      </c>
      <c r="E419" s="468" t="s">
        <v>2096</v>
      </c>
      <c r="F419" s="475" t="s">
        <v>439</v>
      </c>
      <c r="G419" s="477"/>
    </row>
    <row r="420" spans="1:7">
      <c r="A420" s="471" t="s">
        <v>2068</v>
      </c>
      <c r="B420" s="472" t="s">
        <v>2097</v>
      </c>
      <c r="C420" s="471" t="s">
        <v>2098</v>
      </c>
      <c r="D420" s="473" t="s">
        <v>1027</v>
      </c>
      <c r="E420" s="468" t="s">
        <v>2099</v>
      </c>
      <c r="F420" s="475" t="s">
        <v>402</v>
      </c>
      <c r="G420" s="478" t="s">
        <v>707</v>
      </c>
    </row>
    <row r="421" spans="1:7">
      <c r="A421" s="471" t="s">
        <v>2068</v>
      </c>
      <c r="B421" s="472" t="s">
        <v>454</v>
      </c>
      <c r="C421" s="471" t="s">
        <v>2100</v>
      </c>
      <c r="D421" s="473" t="s">
        <v>1027</v>
      </c>
      <c r="E421" s="468" t="s">
        <v>2101</v>
      </c>
      <c r="F421" s="475" t="s">
        <v>454</v>
      </c>
      <c r="G421" s="475" t="s">
        <v>2102</v>
      </c>
    </row>
    <row r="422" spans="1:7">
      <c r="A422" s="471" t="s">
        <v>2068</v>
      </c>
      <c r="B422" s="472" t="s">
        <v>2103</v>
      </c>
      <c r="C422" s="471" t="s">
        <v>2104</v>
      </c>
      <c r="D422" s="473" t="s">
        <v>1027</v>
      </c>
      <c r="E422" s="468" t="s">
        <v>2105</v>
      </c>
      <c r="F422" s="475" t="s">
        <v>1823</v>
      </c>
      <c r="G422" s="475" t="s">
        <v>691</v>
      </c>
    </row>
    <row r="423" spans="1:7">
      <c r="A423" s="471" t="s">
        <v>2068</v>
      </c>
      <c r="B423" s="472" t="s">
        <v>2106</v>
      </c>
      <c r="C423" s="471" t="s">
        <v>2107</v>
      </c>
      <c r="D423" s="473" t="s">
        <v>1027</v>
      </c>
      <c r="E423" s="468" t="s">
        <v>2108</v>
      </c>
      <c r="F423" s="475" t="s">
        <v>1823</v>
      </c>
      <c r="G423" s="475" t="s">
        <v>692</v>
      </c>
    </row>
    <row r="424" spans="1:7">
      <c r="A424" s="471" t="s">
        <v>2068</v>
      </c>
      <c r="B424" s="472" t="s">
        <v>2109</v>
      </c>
      <c r="C424" s="471" t="s">
        <v>2110</v>
      </c>
      <c r="D424" s="473" t="s">
        <v>1027</v>
      </c>
      <c r="E424" s="468" t="s">
        <v>2111</v>
      </c>
      <c r="F424" s="475" t="s">
        <v>1823</v>
      </c>
      <c r="G424" s="475" t="s">
        <v>690</v>
      </c>
    </row>
    <row r="425" spans="1:7">
      <c r="A425" s="471" t="s">
        <v>2068</v>
      </c>
      <c r="B425" s="472" t="s">
        <v>2112</v>
      </c>
      <c r="C425" s="471" t="s">
        <v>2113</v>
      </c>
      <c r="D425" s="473" t="s">
        <v>1027</v>
      </c>
      <c r="E425" s="468" t="s">
        <v>2114</v>
      </c>
      <c r="F425" s="475" t="s">
        <v>454</v>
      </c>
      <c r="G425" s="475" t="s">
        <v>2115</v>
      </c>
    </row>
    <row r="426" spans="1:7">
      <c r="A426" s="471" t="s">
        <v>2068</v>
      </c>
      <c r="B426" s="472" t="s">
        <v>2116</v>
      </c>
      <c r="C426" s="471" t="s">
        <v>2117</v>
      </c>
      <c r="D426" s="473" t="s">
        <v>1027</v>
      </c>
      <c r="E426" s="468" t="s">
        <v>2118</v>
      </c>
      <c r="F426" s="475" t="s">
        <v>1823</v>
      </c>
      <c r="G426" s="478" t="s">
        <v>688</v>
      </c>
    </row>
    <row r="427" spans="1:7">
      <c r="A427" s="471" t="s">
        <v>2068</v>
      </c>
      <c r="B427" s="472" t="s">
        <v>2119</v>
      </c>
      <c r="C427" s="471" t="s">
        <v>2120</v>
      </c>
      <c r="D427" s="491"/>
      <c r="E427" s="468" t="s">
        <v>2121</v>
      </c>
      <c r="F427" s="475" t="s">
        <v>1823</v>
      </c>
      <c r="G427" s="478" t="s">
        <v>688</v>
      </c>
    </row>
    <row r="428" spans="1:7">
      <c r="A428" s="471" t="s">
        <v>2068</v>
      </c>
      <c r="B428" s="472" t="s">
        <v>1061</v>
      </c>
      <c r="C428" s="471" t="s">
        <v>1062</v>
      </c>
      <c r="D428" s="473" t="s">
        <v>1027</v>
      </c>
      <c r="E428" s="468" t="s">
        <v>2122</v>
      </c>
      <c r="F428" s="474" t="s">
        <v>1029</v>
      </c>
      <c r="G428" s="477"/>
    </row>
    <row r="429" spans="1:7">
      <c r="A429" s="471" t="s">
        <v>2068</v>
      </c>
      <c r="B429" s="472" t="s">
        <v>2123</v>
      </c>
      <c r="C429" s="471" t="s">
        <v>2124</v>
      </c>
      <c r="D429" s="473" t="s">
        <v>1027</v>
      </c>
      <c r="E429" s="468" t="s">
        <v>2125</v>
      </c>
      <c r="F429" s="475" t="s">
        <v>1823</v>
      </c>
      <c r="G429" s="475" t="s">
        <v>693</v>
      </c>
    </row>
    <row r="430" spans="1:7">
      <c r="A430" s="471" t="s">
        <v>2068</v>
      </c>
      <c r="B430" s="472" t="s">
        <v>2126</v>
      </c>
      <c r="C430" s="471" t="s">
        <v>2127</v>
      </c>
      <c r="D430" s="473" t="s">
        <v>1027</v>
      </c>
      <c r="E430" s="468" t="s">
        <v>2128</v>
      </c>
      <c r="F430" s="475" t="s">
        <v>408</v>
      </c>
      <c r="G430" s="478" t="s">
        <v>709</v>
      </c>
    </row>
    <row r="431" spans="1:7">
      <c r="A431" s="471" t="s">
        <v>2068</v>
      </c>
      <c r="B431" s="472" t="s">
        <v>2129</v>
      </c>
      <c r="C431" s="471" t="s">
        <v>2130</v>
      </c>
      <c r="D431" s="491"/>
      <c r="E431" s="468" t="s">
        <v>2131</v>
      </c>
      <c r="F431" s="479" t="s">
        <v>1029</v>
      </c>
      <c r="G431" s="477"/>
    </row>
    <row r="432" spans="1:7">
      <c r="A432" s="471" t="s">
        <v>2068</v>
      </c>
      <c r="B432" s="472" t="s">
        <v>2132</v>
      </c>
      <c r="C432" s="471" t="s">
        <v>2133</v>
      </c>
      <c r="D432" s="473" t="s">
        <v>1027</v>
      </c>
      <c r="E432" s="468" t="s">
        <v>2134</v>
      </c>
      <c r="F432" s="475" t="s">
        <v>402</v>
      </c>
      <c r="G432" s="478" t="s">
        <v>707</v>
      </c>
    </row>
    <row r="433" spans="1:7">
      <c r="A433" s="471" t="s">
        <v>2068</v>
      </c>
      <c r="B433" s="472" t="s">
        <v>2135</v>
      </c>
      <c r="C433" s="471" t="s">
        <v>2136</v>
      </c>
      <c r="D433" s="473" t="s">
        <v>1027</v>
      </c>
      <c r="E433" s="468" t="s">
        <v>2137</v>
      </c>
      <c r="F433" s="475" t="s">
        <v>1823</v>
      </c>
      <c r="G433" s="478" t="s">
        <v>688</v>
      </c>
    </row>
    <row r="434" spans="1:7">
      <c r="A434" s="471" t="s">
        <v>2068</v>
      </c>
      <c r="B434" s="472" t="s">
        <v>2138</v>
      </c>
      <c r="C434" s="471" t="s">
        <v>2139</v>
      </c>
      <c r="D434" s="473" t="s">
        <v>1027</v>
      </c>
      <c r="E434" s="468" t="s">
        <v>2140</v>
      </c>
      <c r="F434" s="475" t="s">
        <v>497</v>
      </c>
      <c r="G434" s="475" t="s">
        <v>2141</v>
      </c>
    </row>
    <row r="435" spans="1:7">
      <c r="A435" s="471" t="s">
        <v>2068</v>
      </c>
      <c r="B435" s="472" t="s">
        <v>2142</v>
      </c>
      <c r="C435" s="471" t="s">
        <v>2143</v>
      </c>
      <c r="D435" s="473" t="s">
        <v>1027</v>
      </c>
      <c r="E435" s="468" t="s">
        <v>2144</v>
      </c>
      <c r="F435" s="475" t="s">
        <v>1823</v>
      </c>
      <c r="G435" s="478" t="s">
        <v>688</v>
      </c>
    </row>
    <row r="436" spans="1:7">
      <c r="A436" s="471" t="s">
        <v>2068</v>
      </c>
      <c r="B436" s="472" t="s">
        <v>2145</v>
      </c>
      <c r="C436" s="471" t="s">
        <v>2146</v>
      </c>
      <c r="D436" s="473" t="s">
        <v>1027</v>
      </c>
      <c r="E436" s="468" t="s">
        <v>2147</v>
      </c>
      <c r="F436" s="475" t="s">
        <v>1823</v>
      </c>
      <c r="G436" s="478" t="s">
        <v>688</v>
      </c>
    </row>
    <row r="437" spans="1:7">
      <c r="A437" s="471" t="s">
        <v>2068</v>
      </c>
      <c r="B437" s="472" t="s">
        <v>2148</v>
      </c>
      <c r="C437" s="471" t="s">
        <v>2149</v>
      </c>
      <c r="D437" s="473" t="s">
        <v>1027</v>
      </c>
      <c r="E437" s="468" t="s">
        <v>2150</v>
      </c>
      <c r="F437" s="475" t="s">
        <v>408</v>
      </c>
      <c r="G437" s="478" t="s">
        <v>709</v>
      </c>
    </row>
    <row r="438" spans="1:7">
      <c r="A438" s="471" t="s">
        <v>2068</v>
      </c>
      <c r="B438" s="472" t="s">
        <v>2151</v>
      </c>
      <c r="C438" s="471" t="s">
        <v>2152</v>
      </c>
      <c r="D438" s="473" t="s">
        <v>1027</v>
      </c>
      <c r="E438" s="468" t="s">
        <v>2153</v>
      </c>
      <c r="F438" s="475" t="s">
        <v>408</v>
      </c>
      <c r="G438" s="478" t="s">
        <v>2087</v>
      </c>
    </row>
    <row r="439" spans="1:7">
      <c r="A439" s="471" t="s">
        <v>2068</v>
      </c>
      <c r="B439" s="472" t="s">
        <v>2154</v>
      </c>
      <c r="C439" s="471" t="s">
        <v>2155</v>
      </c>
      <c r="D439" s="473" t="s">
        <v>1027</v>
      </c>
      <c r="E439" s="468" t="s">
        <v>2156</v>
      </c>
      <c r="F439" s="475" t="s">
        <v>408</v>
      </c>
      <c r="G439" s="478" t="s">
        <v>2087</v>
      </c>
    </row>
    <row r="440" spans="1:7">
      <c r="A440" s="471" t="s">
        <v>2068</v>
      </c>
      <c r="B440" s="472" t="s">
        <v>2157</v>
      </c>
      <c r="C440" s="471" t="s">
        <v>2158</v>
      </c>
      <c r="D440" s="491"/>
      <c r="E440" s="468" t="s">
        <v>2159</v>
      </c>
      <c r="F440" s="474" t="s">
        <v>497</v>
      </c>
      <c r="G440" s="474" t="s">
        <v>2141</v>
      </c>
    </row>
    <row r="441" spans="1:7">
      <c r="A441" s="471" t="s">
        <v>2068</v>
      </c>
      <c r="B441" s="472" t="s">
        <v>2160</v>
      </c>
      <c r="C441" s="471" t="s">
        <v>2161</v>
      </c>
      <c r="D441" s="473" t="s">
        <v>1027</v>
      </c>
      <c r="E441" s="468" t="s">
        <v>2162</v>
      </c>
      <c r="F441" s="475" t="s">
        <v>402</v>
      </c>
      <c r="G441" s="478" t="s">
        <v>707</v>
      </c>
    </row>
    <row r="442" spans="1:7">
      <c r="A442" s="471" t="s">
        <v>2068</v>
      </c>
      <c r="B442" s="472" t="s">
        <v>2163</v>
      </c>
      <c r="C442" s="471" t="s">
        <v>2164</v>
      </c>
      <c r="D442" s="473" t="s">
        <v>1027</v>
      </c>
      <c r="E442" s="468" t="s">
        <v>2165</v>
      </c>
      <c r="F442" s="474" t="s">
        <v>497</v>
      </c>
      <c r="G442" s="474" t="s">
        <v>2141</v>
      </c>
    </row>
    <row r="443" spans="1:7">
      <c r="A443" s="471" t="s">
        <v>2068</v>
      </c>
      <c r="B443" s="472" t="s">
        <v>2166</v>
      </c>
      <c r="C443" s="471" t="s">
        <v>2167</v>
      </c>
      <c r="D443" s="491"/>
      <c r="E443" s="468" t="s">
        <v>2168</v>
      </c>
      <c r="F443" s="474" t="s">
        <v>454</v>
      </c>
      <c r="G443" s="474" t="s">
        <v>2115</v>
      </c>
    </row>
    <row r="444" spans="1:7">
      <c r="A444" s="471" t="s">
        <v>2068</v>
      </c>
      <c r="B444" s="472" t="s">
        <v>2169</v>
      </c>
      <c r="C444" s="471" t="s">
        <v>2170</v>
      </c>
      <c r="D444" s="491"/>
      <c r="E444" s="468" t="s">
        <v>2171</v>
      </c>
      <c r="F444" s="479" t="s">
        <v>1029</v>
      </c>
      <c r="G444" s="477"/>
    </row>
    <row r="445" spans="1:7">
      <c r="A445" s="471" t="s">
        <v>2068</v>
      </c>
      <c r="B445" s="472" t="s">
        <v>2172</v>
      </c>
      <c r="C445" s="471" t="s">
        <v>2173</v>
      </c>
      <c r="D445" s="473" t="s">
        <v>1027</v>
      </c>
      <c r="E445" s="468" t="s">
        <v>2174</v>
      </c>
      <c r="F445" s="475" t="s">
        <v>1823</v>
      </c>
      <c r="G445" s="478" t="s">
        <v>688</v>
      </c>
    </row>
    <row r="446" spans="1:7">
      <c r="A446" s="471" t="s">
        <v>2068</v>
      </c>
      <c r="B446" s="472" t="s">
        <v>2175</v>
      </c>
      <c r="C446" s="471" t="s">
        <v>2176</v>
      </c>
      <c r="D446" s="491"/>
      <c r="E446" s="468" t="s">
        <v>2177</v>
      </c>
      <c r="F446" s="479" t="s">
        <v>1029</v>
      </c>
      <c r="G446" s="477"/>
    </row>
    <row r="447" spans="1:7">
      <c r="A447" s="471" t="s">
        <v>2068</v>
      </c>
      <c r="B447" s="472" t="s">
        <v>2178</v>
      </c>
      <c r="C447" s="471" t="s">
        <v>2179</v>
      </c>
      <c r="D447" s="491"/>
      <c r="E447" s="468" t="s">
        <v>2180</v>
      </c>
      <c r="F447" s="474" t="s">
        <v>497</v>
      </c>
      <c r="G447" s="474" t="s">
        <v>2141</v>
      </c>
    </row>
    <row r="448" spans="1:7">
      <c r="A448" s="471" t="s">
        <v>2068</v>
      </c>
      <c r="B448" s="472" t="s">
        <v>2181</v>
      </c>
      <c r="C448" s="471" t="s">
        <v>2182</v>
      </c>
      <c r="D448" s="473" t="s">
        <v>1027</v>
      </c>
      <c r="E448" s="468" t="s">
        <v>2183</v>
      </c>
      <c r="F448" s="475" t="s">
        <v>1823</v>
      </c>
      <c r="G448" s="478" t="s">
        <v>688</v>
      </c>
    </row>
    <row r="449" spans="1:7">
      <c r="A449" s="471" t="s">
        <v>2068</v>
      </c>
      <c r="B449" s="472" t="s">
        <v>2184</v>
      </c>
      <c r="C449" s="471" t="s">
        <v>2185</v>
      </c>
      <c r="D449" s="473" t="s">
        <v>1027</v>
      </c>
      <c r="E449" s="468" t="s">
        <v>2186</v>
      </c>
      <c r="F449" s="475" t="s">
        <v>1823</v>
      </c>
      <c r="G449" s="478" t="s">
        <v>688</v>
      </c>
    </row>
    <row r="450" spans="1:7">
      <c r="A450" s="471" t="s">
        <v>2068</v>
      </c>
      <c r="B450" s="472" t="s">
        <v>2187</v>
      </c>
      <c r="C450" s="471" t="s">
        <v>2188</v>
      </c>
      <c r="D450" s="473" t="s">
        <v>1027</v>
      </c>
      <c r="E450" s="468" t="s">
        <v>2189</v>
      </c>
      <c r="F450" s="474" t="s">
        <v>2190</v>
      </c>
      <c r="G450" s="474" t="s">
        <v>2191</v>
      </c>
    </row>
    <row r="451" spans="1:7">
      <c r="A451" s="471" t="s">
        <v>2068</v>
      </c>
      <c r="B451" s="472" t="s">
        <v>2192</v>
      </c>
      <c r="C451" s="471" t="s">
        <v>2193</v>
      </c>
      <c r="D451" s="473" t="s">
        <v>1027</v>
      </c>
      <c r="E451" s="468" t="s">
        <v>2194</v>
      </c>
      <c r="F451" s="475" t="s">
        <v>408</v>
      </c>
      <c r="G451" s="478" t="s">
        <v>709</v>
      </c>
    </row>
    <row r="452" spans="1:7">
      <c r="A452" s="471" t="s">
        <v>2068</v>
      </c>
      <c r="B452" s="472" t="s">
        <v>2195</v>
      </c>
      <c r="C452" s="471" t="s">
        <v>2196</v>
      </c>
      <c r="D452" s="473" t="s">
        <v>1027</v>
      </c>
      <c r="E452" s="468" t="s">
        <v>2197</v>
      </c>
      <c r="F452" s="475" t="s">
        <v>1823</v>
      </c>
      <c r="G452" s="478" t="s">
        <v>688</v>
      </c>
    </row>
    <row r="453" spans="1:7">
      <c r="A453" s="471" t="s">
        <v>2068</v>
      </c>
      <c r="B453" s="472" t="s">
        <v>2198</v>
      </c>
      <c r="C453" s="471" t="s">
        <v>2199</v>
      </c>
      <c r="D453" s="491"/>
      <c r="E453" s="468" t="s">
        <v>2200</v>
      </c>
      <c r="F453" s="476" t="s">
        <v>1029</v>
      </c>
      <c r="G453" s="477"/>
    </row>
    <row r="454" spans="1:7">
      <c r="A454" s="471" t="s">
        <v>2068</v>
      </c>
      <c r="B454" s="472" t="s">
        <v>2201</v>
      </c>
      <c r="C454" s="471" t="s">
        <v>2202</v>
      </c>
      <c r="D454" s="491"/>
      <c r="E454" s="468" t="s">
        <v>2203</v>
      </c>
      <c r="F454" s="476" t="s">
        <v>1819</v>
      </c>
      <c r="G454" s="477"/>
    </row>
    <row r="455" spans="1:7">
      <c r="A455" s="471" t="s">
        <v>2068</v>
      </c>
      <c r="B455" s="472" t="s">
        <v>2204</v>
      </c>
      <c r="C455" s="471" t="s">
        <v>2205</v>
      </c>
      <c r="D455" s="491"/>
      <c r="E455" s="468" t="s">
        <v>2206</v>
      </c>
      <c r="F455" s="486" t="s">
        <v>497</v>
      </c>
      <c r="G455" s="477" t="s">
        <v>2207</v>
      </c>
    </row>
    <row r="456" spans="1:7">
      <c r="A456" s="471" t="s">
        <v>2068</v>
      </c>
      <c r="B456" s="472" t="s">
        <v>2208</v>
      </c>
      <c r="C456" s="471" t="s">
        <v>2209</v>
      </c>
      <c r="D456" s="491"/>
      <c r="E456" s="468" t="s">
        <v>2210</v>
      </c>
      <c r="F456" s="476" t="s">
        <v>553</v>
      </c>
      <c r="G456" s="477"/>
    </row>
    <row r="457" spans="1:7">
      <c r="A457" s="471" t="s">
        <v>2068</v>
      </c>
      <c r="B457" s="472" t="s">
        <v>2211</v>
      </c>
      <c r="C457" s="471" t="s">
        <v>2212</v>
      </c>
      <c r="D457" s="491"/>
      <c r="E457" s="468" t="s">
        <v>2213</v>
      </c>
      <c r="F457" s="479" t="s">
        <v>1029</v>
      </c>
      <c r="G457" s="477"/>
    </row>
    <row r="458" spans="1:7">
      <c r="A458" s="471" t="s">
        <v>2068</v>
      </c>
      <c r="B458" s="472" t="s">
        <v>2214</v>
      </c>
      <c r="C458" s="471" t="s">
        <v>2215</v>
      </c>
      <c r="D458" s="491"/>
      <c r="E458" s="468" t="s">
        <v>2216</v>
      </c>
      <c r="F458" s="476" t="s">
        <v>408</v>
      </c>
      <c r="G458" s="478" t="s">
        <v>709</v>
      </c>
    </row>
    <row r="459" spans="1:7">
      <c r="A459" s="471" t="s">
        <v>2068</v>
      </c>
      <c r="B459" s="472" t="s">
        <v>2217</v>
      </c>
      <c r="C459" s="471" t="s">
        <v>2218</v>
      </c>
      <c r="D459" s="473" t="s">
        <v>1027</v>
      </c>
      <c r="E459" s="468" t="s">
        <v>2219</v>
      </c>
      <c r="F459" s="475" t="s">
        <v>553</v>
      </c>
      <c r="G459" s="475" t="s">
        <v>564</v>
      </c>
    </row>
    <row r="460" spans="1:7">
      <c r="A460" s="471" t="s">
        <v>2068</v>
      </c>
      <c r="B460" s="472" t="s">
        <v>1867</v>
      </c>
      <c r="C460" s="471" t="s">
        <v>1868</v>
      </c>
      <c r="D460" s="473" t="s">
        <v>1027</v>
      </c>
      <c r="E460" s="468" t="s">
        <v>2220</v>
      </c>
      <c r="F460" s="475" t="s">
        <v>553</v>
      </c>
      <c r="G460" s="475" t="s">
        <v>564</v>
      </c>
    </row>
    <row r="461" spans="1:7">
      <c r="A461" s="471" t="s">
        <v>2068</v>
      </c>
      <c r="B461" s="472" t="s">
        <v>2221</v>
      </c>
      <c r="C461" s="471" t="s">
        <v>2222</v>
      </c>
      <c r="D461" s="473" t="s">
        <v>1027</v>
      </c>
      <c r="E461" s="468" t="s">
        <v>2223</v>
      </c>
      <c r="F461" s="475" t="s">
        <v>553</v>
      </c>
      <c r="G461" s="475" t="s">
        <v>564</v>
      </c>
    </row>
    <row r="462" spans="1:7">
      <c r="A462" s="471" t="s">
        <v>2068</v>
      </c>
      <c r="B462" s="472" t="s">
        <v>2224</v>
      </c>
      <c r="C462" s="471" t="s">
        <v>2225</v>
      </c>
      <c r="D462" s="473" t="s">
        <v>1027</v>
      </c>
      <c r="E462" s="468" t="s">
        <v>2226</v>
      </c>
      <c r="F462" s="475" t="s">
        <v>553</v>
      </c>
      <c r="G462" s="475" t="s">
        <v>561</v>
      </c>
    </row>
    <row r="463" spans="1:7">
      <c r="A463" s="471" t="s">
        <v>2068</v>
      </c>
      <c r="B463" s="472" t="s">
        <v>2227</v>
      </c>
      <c r="C463" s="471" t="s">
        <v>2228</v>
      </c>
      <c r="D463" s="473" t="s">
        <v>1027</v>
      </c>
      <c r="E463" s="468" t="s">
        <v>2229</v>
      </c>
      <c r="F463" s="475" t="s">
        <v>553</v>
      </c>
      <c r="G463" s="475" t="s">
        <v>2230</v>
      </c>
    </row>
    <row r="464" spans="1:7">
      <c r="A464" s="471" t="s">
        <v>2068</v>
      </c>
      <c r="B464" s="472" t="s">
        <v>2231</v>
      </c>
      <c r="C464" s="471" t="s">
        <v>2232</v>
      </c>
      <c r="D464" s="473" t="s">
        <v>1027</v>
      </c>
      <c r="E464" s="468" t="s">
        <v>2233</v>
      </c>
      <c r="F464" s="475" t="s">
        <v>553</v>
      </c>
      <c r="G464" s="475" t="s">
        <v>562</v>
      </c>
    </row>
    <row r="465" spans="1:7">
      <c r="A465" s="471" t="s">
        <v>2068</v>
      </c>
      <c r="B465" s="472" t="s">
        <v>2234</v>
      </c>
      <c r="C465" s="471" t="s">
        <v>2235</v>
      </c>
      <c r="D465" s="473" t="s">
        <v>1027</v>
      </c>
      <c r="E465" s="468" t="s">
        <v>2236</v>
      </c>
      <c r="F465" s="475" t="s">
        <v>553</v>
      </c>
      <c r="G465" s="475" t="s">
        <v>2237</v>
      </c>
    </row>
    <row r="466" spans="1:7">
      <c r="A466" s="471" t="s">
        <v>2068</v>
      </c>
      <c r="B466" s="472" t="s">
        <v>2238</v>
      </c>
      <c r="C466" s="471" t="s">
        <v>2239</v>
      </c>
      <c r="D466" s="473" t="s">
        <v>1027</v>
      </c>
      <c r="E466" s="468" t="s">
        <v>2240</v>
      </c>
      <c r="F466" s="475" t="s">
        <v>553</v>
      </c>
      <c r="G466" s="475" t="s">
        <v>562</v>
      </c>
    </row>
    <row r="467" spans="1:7">
      <c r="A467" s="471" t="s">
        <v>2068</v>
      </c>
      <c r="B467" s="472" t="s">
        <v>2241</v>
      </c>
      <c r="C467" s="471" t="s">
        <v>2242</v>
      </c>
      <c r="D467" s="473" t="s">
        <v>1027</v>
      </c>
      <c r="E467" s="468" t="s">
        <v>2243</v>
      </c>
      <c r="F467" s="475" t="s">
        <v>553</v>
      </c>
      <c r="G467" s="475" t="s">
        <v>2244</v>
      </c>
    </row>
    <row r="468" spans="1:7">
      <c r="A468" s="471" t="s">
        <v>2068</v>
      </c>
      <c r="B468" s="472" t="s">
        <v>2245</v>
      </c>
      <c r="C468" s="471" t="s">
        <v>2246</v>
      </c>
      <c r="D468" s="491"/>
      <c r="E468" s="468" t="s">
        <v>2247</v>
      </c>
      <c r="F468" s="495" t="s">
        <v>553</v>
      </c>
      <c r="G468" s="477"/>
    </row>
    <row r="469" spans="1:7">
      <c r="A469" s="471" t="s">
        <v>2068</v>
      </c>
      <c r="B469" s="472" t="s">
        <v>2248</v>
      </c>
      <c r="C469" s="471" t="s">
        <v>2249</v>
      </c>
      <c r="D469" s="473" t="s">
        <v>1027</v>
      </c>
      <c r="E469" s="468" t="s">
        <v>2250</v>
      </c>
      <c r="F469" s="474" t="s">
        <v>553</v>
      </c>
      <c r="G469" s="474" t="s">
        <v>562</v>
      </c>
    </row>
    <row r="470" spans="1:7">
      <c r="A470" s="471" t="s">
        <v>2068</v>
      </c>
      <c r="B470" s="472" t="s">
        <v>2251</v>
      </c>
      <c r="C470" s="471" t="s">
        <v>2252</v>
      </c>
      <c r="D470" s="473" t="s">
        <v>1027</v>
      </c>
      <c r="E470" s="468" t="s">
        <v>2253</v>
      </c>
      <c r="F470" s="475" t="s">
        <v>535</v>
      </c>
      <c r="G470" s="475" t="s">
        <v>2254</v>
      </c>
    </row>
    <row r="471" spans="1:7">
      <c r="A471" s="471" t="s">
        <v>2068</v>
      </c>
      <c r="B471" s="472" t="s">
        <v>2255</v>
      </c>
      <c r="C471" s="471" t="s">
        <v>2256</v>
      </c>
      <c r="D471" s="491"/>
      <c r="E471" s="468" t="s">
        <v>2257</v>
      </c>
      <c r="F471" s="495" t="s">
        <v>1819</v>
      </c>
      <c r="G471" s="486"/>
    </row>
    <row r="472" spans="1:7">
      <c r="A472" s="471" t="s">
        <v>2068</v>
      </c>
      <c r="B472" s="472" t="s">
        <v>2258</v>
      </c>
      <c r="C472" s="471" t="s">
        <v>2259</v>
      </c>
      <c r="D472" s="491"/>
      <c r="E472" s="468" t="s">
        <v>2260</v>
      </c>
      <c r="F472" s="479" t="s">
        <v>1029</v>
      </c>
      <c r="G472" s="486"/>
    </row>
    <row r="473" spans="1:7">
      <c r="A473" s="471" t="s">
        <v>2068</v>
      </c>
      <c r="B473" s="472" t="s">
        <v>2261</v>
      </c>
      <c r="C473" s="471" t="s">
        <v>2262</v>
      </c>
      <c r="D473" s="473" t="s">
        <v>1027</v>
      </c>
      <c r="E473" s="468" t="s">
        <v>2263</v>
      </c>
      <c r="F473" s="475" t="s">
        <v>553</v>
      </c>
      <c r="G473" s="475" t="s">
        <v>555</v>
      </c>
    </row>
    <row r="474" spans="1:7">
      <c r="A474" s="471" t="s">
        <v>2068</v>
      </c>
      <c r="B474" s="472" t="s">
        <v>2264</v>
      </c>
      <c r="C474" s="471" t="s">
        <v>2265</v>
      </c>
      <c r="D474" s="473" t="s">
        <v>1027</v>
      </c>
      <c r="E474" s="468" t="s">
        <v>2266</v>
      </c>
      <c r="F474" s="475" t="s">
        <v>497</v>
      </c>
      <c r="G474" s="475" t="s">
        <v>2264</v>
      </c>
    </row>
    <row r="475" spans="1:7">
      <c r="A475" s="471" t="s">
        <v>2068</v>
      </c>
      <c r="B475" s="472" t="s">
        <v>1102</v>
      </c>
      <c r="C475" s="471" t="s">
        <v>1103</v>
      </c>
      <c r="D475" s="491"/>
      <c r="E475" s="468" t="s">
        <v>2267</v>
      </c>
      <c r="F475" s="480" t="s">
        <v>1084</v>
      </c>
      <c r="G475" s="481" t="s">
        <v>1105</v>
      </c>
    </row>
    <row r="476" spans="1:7">
      <c r="A476" s="471" t="s">
        <v>2068</v>
      </c>
      <c r="B476" s="472" t="s">
        <v>2268</v>
      </c>
      <c r="C476" s="471" t="s">
        <v>2269</v>
      </c>
      <c r="D476" s="473" t="s">
        <v>1027</v>
      </c>
      <c r="E476" s="468" t="s">
        <v>2270</v>
      </c>
      <c r="F476" s="475" t="s">
        <v>590</v>
      </c>
      <c r="G476" s="475" t="s">
        <v>2271</v>
      </c>
    </row>
    <row r="477" spans="1:7">
      <c r="A477" s="471" t="s">
        <v>2068</v>
      </c>
      <c r="B477" s="472" t="s">
        <v>1186</v>
      </c>
      <c r="C477" s="471" t="s">
        <v>1187</v>
      </c>
      <c r="D477" s="491"/>
      <c r="E477" s="468" t="s">
        <v>2272</v>
      </c>
      <c r="F477" s="476" t="s">
        <v>1029</v>
      </c>
      <c r="G477" s="477"/>
    </row>
    <row r="478" spans="1:7">
      <c r="A478" s="461" t="s">
        <v>910</v>
      </c>
      <c r="B478" s="462"/>
      <c r="C478" s="462" t="s">
        <v>1022</v>
      </c>
      <c r="D478" s="463"/>
      <c r="E478" s="468" t="s">
        <v>2273</v>
      </c>
      <c r="F478" s="469"/>
      <c r="G478" s="470"/>
    </row>
    <row r="479" spans="1:7">
      <c r="A479" s="471" t="s">
        <v>910</v>
      </c>
      <c r="B479" s="472" t="s">
        <v>1025</v>
      </c>
      <c r="C479" s="471" t="s">
        <v>1026</v>
      </c>
      <c r="D479" s="491"/>
      <c r="E479" s="468" t="s">
        <v>2274</v>
      </c>
      <c r="F479" s="474" t="s">
        <v>1029</v>
      </c>
      <c r="G479" s="477"/>
    </row>
    <row r="480" spans="1:7">
      <c r="A480" s="471" t="s">
        <v>910</v>
      </c>
      <c r="B480" s="472" t="s">
        <v>1030</v>
      </c>
      <c r="C480" s="471" t="s">
        <v>1031</v>
      </c>
      <c r="D480" s="491"/>
      <c r="E480" s="468" t="s">
        <v>2275</v>
      </c>
      <c r="F480" s="494" t="s">
        <v>626</v>
      </c>
      <c r="G480" s="496" t="s">
        <v>1792</v>
      </c>
    </row>
    <row r="481" spans="1:7">
      <c r="A481" s="471" t="s">
        <v>910</v>
      </c>
      <c r="B481" s="472" t="s">
        <v>911</v>
      </c>
      <c r="C481" s="471" t="s">
        <v>912</v>
      </c>
      <c r="D481" s="473" t="s">
        <v>1027</v>
      </c>
      <c r="E481" s="468" t="s">
        <v>2276</v>
      </c>
      <c r="F481" s="475" t="s">
        <v>813</v>
      </c>
      <c r="G481" s="475" t="s">
        <v>815</v>
      </c>
    </row>
    <row r="482" spans="1:7">
      <c r="A482" s="471" t="s">
        <v>910</v>
      </c>
      <c r="B482" s="472" t="s">
        <v>943</v>
      </c>
      <c r="C482" s="471" t="s">
        <v>944</v>
      </c>
      <c r="D482" s="473" t="s">
        <v>1027</v>
      </c>
      <c r="E482" s="468" t="s">
        <v>2277</v>
      </c>
      <c r="F482" s="475" t="s">
        <v>813</v>
      </c>
      <c r="G482" s="475" t="s">
        <v>830</v>
      </c>
    </row>
    <row r="483" spans="1:7">
      <c r="A483" s="471" t="s">
        <v>910</v>
      </c>
      <c r="B483" s="472" t="s">
        <v>2278</v>
      </c>
      <c r="C483" s="471" t="s">
        <v>2279</v>
      </c>
      <c r="D483" s="491"/>
      <c r="E483" s="468" t="s">
        <v>2280</v>
      </c>
      <c r="F483" s="479" t="s">
        <v>1029</v>
      </c>
      <c r="G483" s="486"/>
    </row>
    <row r="484" spans="1:7">
      <c r="A484" s="471" t="s">
        <v>910</v>
      </c>
      <c r="B484" s="472" t="s">
        <v>945</v>
      </c>
      <c r="C484" s="471" t="s">
        <v>946</v>
      </c>
      <c r="D484" s="473" t="s">
        <v>1027</v>
      </c>
      <c r="E484" s="468" t="s">
        <v>2281</v>
      </c>
      <c r="F484" s="475" t="s">
        <v>813</v>
      </c>
      <c r="G484" s="475" t="s">
        <v>830</v>
      </c>
    </row>
    <row r="485" spans="1:7">
      <c r="A485" s="471" t="s">
        <v>910</v>
      </c>
      <c r="B485" s="472" t="s">
        <v>913</v>
      </c>
      <c r="C485" s="471" t="s">
        <v>914</v>
      </c>
      <c r="D485" s="473" t="s">
        <v>1027</v>
      </c>
      <c r="E485" s="468" t="s">
        <v>2282</v>
      </c>
      <c r="F485" s="475" t="s">
        <v>813</v>
      </c>
      <c r="G485" s="475" t="s">
        <v>815</v>
      </c>
    </row>
    <row r="486" spans="1:7">
      <c r="A486" s="471" t="s">
        <v>910</v>
      </c>
      <c r="B486" s="472" t="s">
        <v>2283</v>
      </c>
      <c r="C486" s="471" t="s">
        <v>2284</v>
      </c>
      <c r="D486" s="473" t="s">
        <v>1027</v>
      </c>
      <c r="E486" s="468" t="s">
        <v>2285</v>
      </c>
      <c r="F486" s="475" t="s">
        <v>813</v>
      </c>
      <c r="G486" s="475" t="s">
        <v>2286</v>
      </c>
    </row>
    <row r="487" spans="1:7">
      <c r="A487" s="471" t="s">
        <v>910</v>
      </c>
      <c r="B487" s="472" t="s">
        <v>915</v>
      </c>
      <c r="C487" s="471" t="s">
        <v>916</v>
      </c>
      <c r="D487" s="491"/>
      <c r="E487" s="468" t="s">
        <v>2287</v>
      </c>
      <c r="F487" s="479" t="s">
        <v>1029</v>
      </c>
      <c r="G487" s="486"/>
    </row>
    <row r="488" spans="1:7">
      <c r="A488" s="471" t="s">
        <v>910</v>
      </c>
      <c r="B488" s="472" t="s">
        <v>947</v>
      </c>
      <c r="C488" s="471" t="s">
        <v>948</v>
      </c>
      <c r="D488" s="473" t="s">
        <v>1027</v>
      </c>
      <c r="E488" s="468" t="s">
        <v>2288</v>
      </c>
      <c r="F488" s="475" t="s">
        <v>813</v>
      </c>
      <c r="G488" s="475" t="s">
        <v>830</v>
      </c>
    </row>
    <row r="489" spans="1:7">
      <c r="A489" s="471" t="s">
        <v>910</v>
      </c>
      <c r="B489" s="472" t="s">
        <v>1055</v>
      </c>
      <c r="C489" s="471" t="s">
        <v>1056</v>
      </c>
      <c r="D489" s="491"/>
      <c r="E489" s="468" t="s">
        <v>2289</v>
      </c>
      <c r="F489" s="479" t="s">
        <v>1029</v>
      </c>
      <c r="G489" s="486"/>
    </row>
    <row r="490" spans="1:7">
      <c r="A490" s="471" t="s">
        <v>910</v>
      </c>
      <c r="B490" s="472" t="s">
        <v>2290</v>
      </c>
      <c r="C490" s="471" t="s">
        <v>2291</v>
      </c>
      <c r="D490" s="491"/>
      <c r="E490" s="468" t="s">
        <v>2292</v>
      </c>
      <c r="F490" s="479" t="s">
        <v>1029</v>
      </c>
      <c r="G490" s="486"/>
    </row>
    <row r="491" spans="1:7">
      <c r="A491" s="471" t="s">
        <v>910</v>
      </c>
      <c r="B491" s="472" t="s">
        <v>2293</v>
      </c>
      <c r="C491" s="471" t="s">
        <v>2294</v>
      </c>
      <c r="D491" s="473" t="s">
        <v>1027</v>
      </c>
      <c r="E491" s="468" t="s">
        <v>2295</v>
      </c>
      <c r="F491" s="479" t="s">
        <v>1029</v>
      </c>
      <c r="G491" s="475"/>
    </row>
    <row r="492" spans="1:7">
      <c r="A492" s="471" t="s">
        <v>910</v>
      </c>
      <c r="B492" s="472" t="s">
        <v>925</v>
      </c>
      <c r="C492" s="471" t="s">
        <v>926</v>
      </c>
      <c r="D492" s="473" t="s">
        <v>1027</v>
      </c>
      <c r="E492" s="468" t="s">
        <v>2296</v>
      </c>
      <c r="F492" s="475" t="s">
        <v>626</v>
      </c>
      <c r="G492" s="475" t="s">
        <v>649</v>
      </c>
    </row>
    <row r="493" spans="1:7">
      <c r="A493" s="471" t="s">
        <v>910</v>
      </c>
      <c r="B493" s="472" t="s">
        <v>927</v>
      </c>
      <c r="C493" s="471" t="s">
        <v>928</v>
      </c>
      <c r="D493" s="473" t="s">
        <v>1027</v>
      </c>
      <c r="E493" s="468" t="s">
        <v>2297</v>
      </c>
      <c r="F493" s="475" t="s">
        <v>626</v>
      </c>
      <c r="G493" s="475" t="s">
        <v>649</v>
      </c>
    </row>
    <row r="494" spans="1:7">
      <c r="A494" s="471" t="s">
        <v>910</v>
      </c>
      <c r="B494" s="472" t="s">
        <v>2298</v>
      </c>
      <c r="C494" s="471" t="s">
        <v>2299</v>
      </c>
      <c r="D494" s="473" t="s">
        <v>1027</v>
      </c>
      <c r="E494" s="468" t="s">
        <v>2300</v>
      </c>
      <c r="F494" s="479" t="s">
        <v>1029</v>
      </c>
      <c r="G494" s="475"/>
    </row>
    <row r="495" spans="1:7">
      <c r="A495" s="471" t="s">
        <v>910</v>
      </c>
      <c r="B495" s="472" t="s">
        <v>2301</v>
      </c>
      <c r="C495" s="471" t="s">
        <v>2302</v>
      </c>
      <c r="D495" s="473" t="s">
        <v>1027</v>
      </c>
      <c r="E495" s="468" t="s">
        <v>2303</v>
      </c>
      <c r="F495" s="475" t="s">
        <v>626</v>
      </c>
      <c r="G495" s="475" t="s">
        <v>649</v>
      </c>
    </row>
    <row r="496" spans="1:7">
      <c r="A496" s="471" t="s">
        <v>910</v>
      </c>
      <c r="B496" s="472" t="s">
        <v>2304</v>
      </c>
      <c r="C496" s="471" t="s">
        <v>2305</v>
      </c>
      <c r="D496" s="473" t="s">
        <v>1027</v>
      </c>
      <c r="E496" s="468" t="s">
        <v>2306</v>
      </c>
      <c r="F496" s="479" t="s">
        <v>1029</v>
      </c>
      <c r="G496" s="475"/>
    </row>
    <row r="497" spans="1:7">
      <c r="A497" s="471" t="s">
        <v>910</v>
      </c>
      <c r="B497" s="472" t="s">
        <v>951</v>
      </c>
      <c r="C497" s="471" t="s">
        <v>952</v>
      </c>
      <c r="D497" s="473" t="s">
        <v>1027</v>
      </c>
      <c r="E497" s="468" t="s">
        <v>2307</v>
      </c>
      <c r="F497" s="475" t="s">
        <v>626</v>
      </c>
      <c r="G497" s="475" t="s">
        <v>637</v>
      </c>
    </row>
    <row r="498" spans="1:7">
      <c r="A498" s="471" t="s">
        <v>910</v>
      </c>
      <c r="B498" s="472" t="s">
        <v>953</v>
      </c>
      <c r="C498" s="471" t="s">
        <v>954</v>
      </c>
      <c r="D498" s="473" t="s">
        <v>1027</v>
      </c>
      <c r="E498" s="468" t="s">
        <v>2308</v>
      </c>
      <c r="F498" s="475" t="s">
        <v>626</v>
      </c>
      <c r="G498" s="475" t="s">
        <v>637</v>
      </c>
    </row>
    <row r="499" spans="1:7">
      <c r="A499" s="471" t="s">
        <v>910</v>
      </c>
      <c r="B499" s="472" t="s">
        <v>2309</v>
      </c>
      <c r="C499" s="471" t="s">
        <v>2310</v>
      </c>
      <c r="D499" s="473" t="s">
        <v>1027</v>
      </c>
      <c r="E499" s="468" t="s">
        <v>2311</v>
      </c>
      <c r="F499" s="479" t="s">
        <v>1029</v>
      </c>
      <c r="G499" s="475"/>
    </row>
    <row r="500" spans="1:7">
      <c r="A500" s="471" t="s">
        <v>910</v>
      </c>
      <c r="B500" s="472" t="s">
        <v>2312</v>
      </c>
      <c r="C500" s="471" t="s">
        <v>2313</v>
      </c>
      <c r="D500" s="473" t="s">
        <v>1027</v>
      </c>
      <c r="E500" s="468" t="s">
        <v>2314</v>
      </c>
      <c r="F500" s="475" t="s">
        <v>626</v>
      </c>
      <c r="G500" s="475" t="s">
        <v>637</v>
      </c>
    </row>
    <row r="501" spans="1:7">
      <c r="A501" s="471" t="s">
        <v>910</v>
      </c>
      <c r="B501" s="472" t="s">
        <v>2315</v>
      </c>
      <c r="C501" s="471" t="s">
        <v>2316</v>
      </c>
      <c r="D501" s="491"/>
      <c r="E501" s="468" t="s">
        <v>2317</v>
      </c>
      <c r="F501" s="479" t="s">
        <v>1029</v>
      </c>
      <c r="G501" s="486"/>
    </row>
    <row r="502" spans="1:7">
      <c r="A502" s="471" t="s">
        <v>910</v>
      </c>
      <c r="B502" s="472" t="s">
        <v>2318</v>
      </c>
      <c r="C502" s="471" t="s">
        <v>2319</v>
      </c>
      <c r="D502" s="491"/>
      <c r="E502" s="468" t="s">
        <v>2320</v>
      </c>
      <c r="F502" s="479" t="s">
        <v>1029</v>
      </c>
      <c r="G502" s="486"/>
    </row>
    <row r="503" spans="1:7">
      <c r="A503" s="471" t="s">
        <v>910</v>
      </c>
      <c r="B503" s="472" t="s">
        <v>2321</v>
      </c>
      <c r="C503" s="471" t="s">
        <v>2322</v>
      </c>
      <c r="D503" s="473" t="s">
        <v>1027</v>
      </c>
      <c r="E503" s="468" t="s">
        <v>2323</v>
      </c>
      <c r="F503" s="475" t="s">
        <v>626</v>
      </c>
      <c r="G503" s="475" t="s">
        <v>629</v>
      </c>
    </row>
    <row r="504" spans="1:7">
      <c r="A504" s="471" t="s">
        <v>910</v>
      </c>
      <c r="B504" s="472" t="s">
        <v>1572</v>
      </c>
      <c r="C504" s="471" t="s">
        <v>1573</v>
      </c>
      <c r="D504" s="473" t="s">
        <v>1027</v>
      </c>
      <c r="E504" s="468" t="s">
        <v>2324</v>
      </c>
      <c r="F504" s="475" t="s">
        <v>626</v>
      </c>
      <c r="G504" s="474" t="s">
        <v>629</v>
      </c>
    </row>
    <row r="505" spans="1:7">
      <c r="A505" s="471" t="s">
        <v>910</v>
      </c>
      <c r="B505" s="472" t="s">
        <v>2325</v>
      </c>
      <c r="C505" s="471" t="s">
        <v>2326</v>
      </c>
      <c r="D505" s="473" t="s">
        <v>1027</v>
      </c>
      <c r="E505" s="468" t="s">
        <v>2327</v>
      </c>
      <c r="F505" s="475" t="s">
        <v>626</v>
      </c>
      <c r="G505" s="475" t="s">
        <v>1792</v>
      </c>
    </row>
    <row r="506" spans="1:7">
      <c r="A506" s="471" t="s">
        <v>910</v>
      </c>
      <c r="B506" s="472" t="s">
        <v>2328</v>
      </c>
      <c r="C506" s="471" t="s">
        <v>2329</v>
      </c>
      <c r="D506" s="473" t="s">
        <v>1027</v>
      </c>
      <c r="E506" s="468" t="s">
        <v>2330</v>
      </c>
      <c r="F506" s="475" t="s">
        <v>626</v>
      </c>
      <c r="G506" s="475" t="s">
        <v>1792</v>
      </c>
    </row>
    <row r="507" spans="1:7">
      <c r="A507" s="471" t="s">
        <v>910</v>
      </c>
      <c r="B507" s="472" t="s">
        <v>1575</v>
      </c>
      <c r="C507" s="471" t="s">
        <v>1576</v>
      </c>
      <c r="D507" s="473" t="s">
        <v>1027</v>
      </c>
      <c r="E507" s="468" t="s">
        <v>2331</v>
      </c>
      <c r="F507" s="475" t="s">
        <v>626</v>
      </c>
      <c r="G507" s="475" t="s">
        <v>1792</v>
      </c>
    </row>
    <row r="508" spans="1:7">
      <c r="A508" s="471" t="s">
        <v>910</v>
      </c>
      <c r="B508" s="472" t="s">
        <v>1384</v>
      </c>
      <c r="C508" s="471" t="s">
        <v>1385</v>
      </c>
      <c r="D508" s="473" t="s">
        <v>1027</v>
      </c>
      <c r="E508" s="468" t="s">
        <v>2332</v>
      </c>
      <c r="F508" s="475" t="s">
        <v>626</v>
      </c>
      <c r="G508" s="475" t="s">
        <v>1387</v>
      </c>
    </row>
    <row r="509" spans="1:7">
      <c r="A509" s="471" t="s">
        <v>910</v>
      </c>
      <c r="B509" s="472" t="s">
        <v>2333</v>
      </c>
      <c r="C509" s="471" t="s">
        <v>2334</v>
      </c>
      <c r="D509" s="473" t="s">
        <v>1027</v>
      </c>
      <c r="E509" s="468" t="s">
        <v>2335</v>
      </c>
      <c r="F509" s="475" t="s">
        <v>626</v>
      </c>
      <c r="G509" s="475" t="s">
        <v>628</v>
      </c>
    </row>
    <row r="510" spans="1:7">
      <c r="A510" s="471" t="s">
        <v>910</v>
      </c>
      <c r="B510" s="472" t="s">
        <v>1789</v>
      </c>
      <c r="C510" s="471" t="s">
        <v>1790</v>
      </c>
      <c r="D510" s="473" t="s">
        <v>1027</v>
      </c>
      <c r="E510" s="468" t="s">
        <v>2336</v>
      </c>
      <c r="F510" s="475" t="s">
        <v>626</v>
      </c>
      <c r="G510" s="475" t="s">
        <v>1792</v>
      </c>
    </row>
    <row r="511" spans="1:7">
      <c r="A511" s="471" t="s">
        <v>910</v>
      </c>
      <c r="B511" s="472" t="s">
        <v>1793</v>
      </c>
      <c r="C511" s="471" t="s">
        <v>1794</v>
      </c>
      <c r="D511" s="473" t="s">
        <v>1027</v>
      </c>
      <c r="E511" s="468" t="s">
        <v>2337</v>
      </c>
      <c r="F511" s="475" t="s">
        <v>626</v>
      </c>
      <c r="G511" s="475" t="s">
        <v>1792</v>
      </c>
    </row>
    <row r="512" spans="1:7">
      <c r="A512" s="471" t="s">
        <v>910</v>
      </c>
      <c r="B512" s="472" t="s">
        <v>2338</v>
      </c>
      <c r="C512" s="471" t="s">
        <v>2339</v>
      </c>
      <c r="D512" s="473" t="s">
        <v>1027</v>
      </c>
      <c r="E512" s="468" t="s">
        <v>2340</v>
      </c>
      <c r="F512" s="475" t="s">
        <v>626</v>
      </c>
      <c r="G512" s="475" t="s">
        <v>628</v>
      </c>
    </row>
    <row r="513" spans="1:7">
      <c r="A513" s="471" t="s">
        <v>910</v>
      </c>
      <c r="B513" s="472" t="s">
        <v>1796</v>
      </c>
      <c r="C513" s="471" t="s">
        <v>1797</v>
      </c>
      <c r="D513" s="473" t="s">
        <v>1027</v>
      </c>
      <c r="E513" s="468" t="s">
        <v>2341</v>
      </c>
      <c r="F513" s="475" t="s">
        <v>626</v>
      </c>
      <c r="G513" s="475" t="s">
        <v>628</v>
      </c>
    </row>
    <row r="514" spans="1:7">
      <c r="A514" s="471" t="s">
        <v>910</v>
      </c>
      <c r="B514" s="472" t="s">
        <v>1799</v>
      </c>
      <c r="C514" s="471" t="s">
        <v>1800</v>
      </c>
      <c r="D514" s="473" t="s">
        <v>1027</v>
      </c>
      <c r="E514" s="468" t="s">
        <v>2342</v>
      </c>
      <c r="F514" s="475" t="s">
        <v>626</v>
      </c>
      <c r="G514" s="475" t="s">
        <v>628</v>
      </c>
    </row>
    <row r="515" spans="1:7">
      <c r="A515" s="471" t="s">
        <v>910</v>
      </c>
      <c r="B515" s="472" t="s">
        <v>2343</v>
      </c>
      <c r="C515" s="471" t="s">
        <v>2344</v>
      </c>
      <c r="D515" s="473" t="s">
        <v>1027</v>
      </c>
      <c r="E515" s="468" t="s">
        <v>2345</v>
      </c>
      <c r="F515" s="479" t="s">
        <v>1029</v>
      </c>
      <c r="G515" s="475"/>
    </row>
    <row r="516" spans="1:7">
      <c r="A516" s="471" t="s">
        <v>910</v>
      </c>
      <c r="B516" s="472" t="s">
        <v>2346</v>
      </c>
      <c r="C516" s="471" t="s">
        <v>2347</v>
      </c>
      <c r="D516" s="473" t="s">
        <v>1027</v>
      </c>
      <c r="E516" s="468" t="s">
        <v>2348</v>
      </c>
      <c r="F516" s="475" t="s">
        <v>626</v>
      </c>
      <c r="G516" s="490" t="s">
        <v>628</v>
      </c>
    </row>
    <row r="517" spans="1:7">
      <c r="A517" s="471" t="s">
        <v>910</v>
      </c>
      <c r="B517" s="472" t="s">
        <v>2349</v>
      </c>
      <c r="C517" s="471" t="s">
        <v>2350</v>
      </c>
      <c r="D517" s="473" t="s">
        <v>1027</v>
      </c>
      <c r="E517" s="468" t="s">
        <v>2351</v>
      </c>
      <c r="F517" s="475" t="s">
        <v>626</v>
      </c>
      <c r="G517" s="475" t="s">
        <v>633</v>
      </c>
    </row>
    <row r="518" spans="1:7">
      <c r="A518" s="471" t="s">
        <v>910</v>
      </c>
      <c r="B518" s="472" t="s">
        <v>2352</v>
      </c>
      <c r="C518" s="471" t="s">
        <v>2353</v>
      </c>
      <c r="D518" s="473" t="s">
        <v>1027</v>
      </c>
      <c r="E518" s="468" t="s">
        <v>2354</v>
      </c>
      <c r="F518" s="479" t="s">
        <v>1029</v>
      </c>
      <c r="G518" s="475"/>
    </row>
    <row r="519" spans="1:7">
      <c r="A519" s="471" t="s">
        <v>910</v>
      </c>
      <c r="B519" s="472" t="s">
        <v>2355</v>
      </c>
      <c r="C519" s="471" t="s">
        <v>2356</v>
      </c>
      <c r="D519" s="473" t="s">
        <v>1027</v>
      </c>
      <c r="E519" s="468" t="s">
        <v>2357</v>
      </c>
      <c r="F519" s="475" t="s">
        <v>626</v>
      </c>
      <c r="G519" s="490" t="s">
        <v>633</v>
      </c>
    </row>
    <row r="520" spans="1:7">
      <c r="A520" s="471" t="s">
        <v>910</v>
      </c>
      <c r="B520" s="482" t="s">
        <v>2358</v>
      </c>
      <c r="C520" s="483" t="s">
        <v>2359</v>
      </c>
      <c r="D520" s="491"/>
      <c r="E520" s="468" t="s">
        <v>2360</v>
      </c>
      <c r="F520" s="479" t="s">
        <v>1029</v>
      </c>
      <c r="G520" s="477"/>
    </row>
    <row r="521" spans="1:7">
      <c r="A521" s="471" t="s">
        <v>910</v>
      </c>
      <c r="B521" s="472" t="s">
        <v>2361</v>
      </c>
      <c r="C521" s="471" t="s">
        <v>2362</v>
      </c>
      <c r="D521" s="491"/>
      <c r="E521" s="468" t="s">
        <v>2363</v>
      </c>
      <c r="F521" s="479" t="s">
        <v>1029</v>
      </c>
      <c r="G521" s="477"/>
    </row>
    <row r="522" spans="1:7">
      <c r="A522" s="471" t="s">
        <v>910</v>
      </c>
      <c r="B522" s="472" t="s">
        <v>2364</v>
      </c>
      <c r="C522" s="471" t="s">
        <v>2365</v>
      </c>
      <c r="D522" s="491"/>
      <c r="E522" s="468" t="s">
        <v>2366</v>
      </c>
      <c r="F522" s="475" t="s">
        <v>699</v>
      </c>
      <c r="G522" s="475" t="s">
        <v>2367</v>
      </c>
    </row>
    <row r="523" spans="1:7">
      <c r="A523" s="471" t="s">
        <v>910</v>
      </c>
      <c r="B523" s="472" t="s">
        <v>1061</v>
      </c>
      <c r="C523" s="471" t="s">
        <v>1062</v>
      </c>
      <c r="D523" s="473" t="s">
        <v>1027</v>
      </c>
      <c r="E523" s="468" t="s">
        <v>2368</v>
      </c>
      <c r="F523" s="479" t="s">
        <v>1029</v>
      </c>
      <c r="G523" s="477"/>
    </row>
    <row r="524" spans="1:7">
      <c r="A524" s="461" t="s">
        <v>929</v>
      </c>
      <c r="B524" s="462"/>
      <c r="C524" s="462" t="s">
        <v>1022</v>
      </c>
      <c r="D524" s="463"/>
      <c r="E524" s="468" t="s">
        <v>2369</v>
      </c>
      <c r="F524" s="469"/>
      <c r="G524" s="470"/>
    </row>
    <row r="525" spans="1:7">
      <c r="A525" s="471" t="s">
        <v>929</v>
      </c>
      <c r="B525" s="472" t="s">
        <v>1030</v>
      </c>
      <c r="C525" s="471" t="s">
        <v>1031</v>
      </c>
      <c r="D525" s="473" t="s">
        <v>1027</v>
      </c>
      <c r="E525" s="468" t="s">
        <v>2370</v>
      </c>
      <c r="F525" s="475" t="s">
        <v>699</v>
      </c>
      <c r="G525" s="475" t="s">
        <v>1568</v>
      </c>
    </row>
    <row r="526" spans="1:7">
      <c r="A526" s="471" t="s">
        <v>929</v>
      </c>
      <c r="B526" s="472" t="s">
        <v>930</v>
      </c>
      <c r="C526" s="471" t="s">
        <v>931</v>
      </c>
      <c r="D526" s="473" t="s">
        <v>1027</v>
      </c>
      <c r="E526" s="468" t="s">
        <v>2371</v>
      </c>
      <c r="F526" s="475" t="s">
        <v>699</v>
      </c>
      <c r="G526" s="475" t="s">
        <v>1568</v>
      </c>
    </row>
    <row r="527" spans="1:7">
      <c r="A527" s="471" t="s">
        <v>929</v>
      </c>
      <c r="B527" s="472" t="s">
        <v>1565</v>
      </c>
      <c r="C527" s="471" t="s">
        <v>1566</v>
      </c>
      <c r="D527" s="473" t="s">
        <v>1027</v>
      </c>
      <c r="E527" s="468" t="s">
        <v>2372</v>
      </c>
      <c r="F527" s="475" t="s">
        <v>699</v>
      </c>
      <c r="G527" s="475" t="s">
        <v>1568</v>
      </c>
    </row>
    <row r="528" spans="1:7">
      <c r="A528" s="471" t="s">
        <v>929</v>
      </c>
      <c r="B528" s="472" t="s">
        <v>955</v>
      </c>
      <c r="C528" s="471" t="s">
        <v>956</v>
      </c>
      <c r="D528" s="473" t="s">
        <v>1027</v>
      </c>
      <c r="E528" s="468" t="s">
        <v>2373</v>
      </c>
      <c r="F528" s="475" t="s">
        <v>699</v>
      </c>
      <c r="G528" s="475" t="s">
        <v>1568</v>
      </c>
    </row>
    <row r="529" spans="1:7">
      <c r="A529" s="471" t="s">
        <v>929</v>
      </c>
      <c r="B529" s="472" t="s">
        <v>2374</v>
      </c>
      <c r="C529" s="471" t="s">
        <v>2375</v>
      </c>
      <c r="D529" s="473" t="s">
        <v>1027</v>
      </c>
      <c r="E529" s="468" t="s">
        <v>2376</v>
      </c>
      <c r="F529" s="475" t="s">
        <v>699</v>
      </c>
      <c r="G529" s="475" t="s">
        <v>1568</v>
      </c>
    </row>
    <row r="530" spans="1:7">
      <c r="A530" s="471" t="s">
        <v>929</v>
      </c>
      <c r="B530" s="472" t="s">
        <v>2377</v>
      </c>
      <c r="C530" s="471" t="s">
        <v>2378</v>
      </c>
      <c r="D530" s="473" t="s">
        <v>1027</v>
      </c>
      <c r="E530" s="468" t="s">
        <v>2379</v>
      </c>
      <c r="F530" s="475" t="s">
        <v>699</v>
      </c>
      <c r="G530" s="475" t="s">
        <v>1568</v>
      </c>
    </row>
    <row r="531" spans="1:7">
      <c r="A531" s="471" t="s">
        <v>929</v>
      </c>
      <c r="B531" s="472" t="s">
        <v>2380</v>
      </c>
      <c r="C531" s="471" t="s">
        <v>2381</v>
      </c>
      <c r="D531" s="473" t="s">
        <v>1027</v>
      </c>
      <c r="E531" s="468" t="s">
        <v>2382</v>
      </c>
      <c r="F531" s="475" t="s">
        <v>699</v>
      </c>
      <c r="G531" s="475" t="s">
        <v>1568</v>
      </c>
    </row>
    <row r="532" spans="1:7">
      <c r="A532" s="471" t="s">
        <v>929</v>
      </c>
      <c r="B532" s="472" t="s">
        <v>2383</v>
      </c>
      <c r="C532" s="471" t="s">
        <v>2384</v>
      </c>
      <c r="D532" s="473" t="s">
        <v>1027</v>
      </c>
      <c r="E532" s="468" t="s">
        <v>2385</v>
      </c>
      <c r="F532" s="479" t="s">
        <v>1029</v>
      </c>
      <c r="G532" s="475"/>
    </row>
    <row r="533" spans="1:7">
      <c r="A533" s="471" t="s">
        <v>929</v>
      </c>
      <c r="B533" s="472" t="s">
        <v>2386</v>
      </c>
      <c r="C533" s="471" t="s">
        <v>2387</v>
      </c>
      <c r="D533" s="473" t="s">
        <v>1027</v>
      </c>
      <c r="E533" s="468" t="s">
        <v>2388</v>
      </c>
      <c r="F533" s="475" t="s">
        <v>699</v>
      </c>
      <c r="G533" s="475" t="s">
        <v>1568</v>
      </c>
    </row>
    <row r="534" spans="1:7">
      <c r="A534" s="471" t="s">
        <v>929</v>
      </c>
      <c r="B534" s="472" t="s">
        <v>2389</v>
      </c>
      <c r="C534" s="471" t="s">
        <v>2390</v>
      </c>
      <c r="D534" s="473" t="s">
        <v>1027</v>
      </c>
      <c r="E534" s="468" t="s">
        <v>2391</v>
      </c>
      <c r="F534" s="475" t="s">
        <v>699</v>
      </c>
      <c r="G534" s="475" t="s">
        <v>1568</v>
      </c>
    </row>
    <row r="535" spans="1:7">
      <c r="A535" s="471" t="s">
        <v>929</v>
      </c>
      <c r="B535" s="472" t="s">
        <v>2392</v>
      </c>
      <c r="C535" s="471" t="s">
        <v>2393</v>
      </c>
      <c r="D535" s="473" t="s">
        <v>1027</v>
      </c>
      <c r="E535" s="468" t="s">
        <v>2394</v>
      </c>
      <c r="F535" s="475" t="s">
        <v>699</v>
      </c>
      <c r="G535" s="475" t="s">
        <v>1568</v>
      </c>
    </row>
    <row r="536" spans="1:7">
      <c r="A536" s="471" t="s">
        <v>929</v>
      </c>
      <c r="B536" s="472" t="s">
        <v>2395</v>
      </c>
      <c r="C536" s="471" t="s">
        <v>2396</v>
      </c>
      <c r="D536" s="473" t="s">
        <v>1027</v>
      </c>
      <c r="E536" s="468" t="s">
        <v>2397</v>
      </c>
      <c r="F536" s="475" t="s">
        <v>699</v>
      </c>
      <c r="G536" s="475" t="s">
        <v>1568</v>
      </c>
    </row>
    <row r="537" spans="1:7">
      <c r="A537" s="471" t="s">
        <v>929</v>
      </c>
      <c r="B537" s="472" t="s">
        <v>2398</v>
      </c>
      <c r="C537" s="471" t="s">
        <v>2399</v>
      </c>
      <c r="D537" s="473" t="s">
        <v>1027</v>
      </c>
      <c r="E537" s="468" t="s">
        <v>2400</v>
      </c>
      <c r="F537" s="475" t="s">
        <v>699</v>
      </c>
      <c r="G537" s="475" t="s">
        <v>1568</v>
      </c>
    </row>
    <row r="538" spans="1:7">
      <c r="A538" s="471" t="s">
        <v>929</v>
      </c>
      <c r="B538" s="472" t="s">
        <v>2401</v>
      </c>
      <c r="C538" s="471" t="s">
        <v>2402</v>
      </c>
      <c r="D538" s="473" t="s">
        <v>1027</v>
      </c>
      <c r="E538" s="468" t="s">
        <v>2403</v>
      </c>
      <c r="F538" s="475" t="s">
        <v>699</v>
      </c>
      <c r="G538" s="475" t="s">
        <v>1568</v>
      </c>
    </row>
    <row r="539" spans="1:7">
      <c r="A539" s="471" t="s">
        <v>929</v>
      </c>
      <c r="B539" s="472" t="s">
        <v>2404</v>
      </c>
      <c r="C539" s="471" t="s">
        <v>2405</v>
      </c>
      <c r="D539" s="473" t="s">
        <v>1027</v>
      </c>
      <c r="E539" s="468" t="s">
        <v>2406</v>
      </c>
      <c r="F539" s="475" t="s">
        <v>699</v>
      </c>
      <c r="G539" s="475" t="s">
        <v>1568</v>
      </c>
    </row>
    <row r="540" spans="1:7">
      <c r="A540" s="471" t="s">
        <v>929</v>
      </c>
      <c r="B540" s="472" t="s">
        <v>2407</v>
      </c>
      <c r="C540" s="471" t="s">
        <v>2408</v>
      </c>
      <c r="D540" s="473" t="s">
        <v>1027</v>
      </c>
      <c r="E540" s="468" t="s">
        <v>2409</v>
      </c>
      <c r="F540" s="475" t="s">
        <v>699</v>
      </c>
      <c r="G540" s="475" t="s">
        <v>1568</v>
      </c>
    </row>
    <row r="541" spans="1:7">
      <c r="A541" s="471" t="s">
        <v>929</v>
      </c>
      <c r="B541" s="472" t="s">
        <v>2410</v>
      </c>
      <c r="C541" s="471" t="s">
        <v>2411</v>
      </c>
      <c r="D541" s="473" t="s">
        <v>1027</v>
      </c>
      <c r="E541" s="468" t="s">
        <v>2412</v>
      </c>
      <c r="F541" s="479" t="s">
        <v>1029</v>
      </c>
      <c r="G541" s="475"/>
    </row>
    <row r="542" spans="1:7">
      <c r="A542" s="471" t="s">
        <v>929</v>
      </c>
      <c r="B542" s="472" t="s">
        <v>1807</v>
      </c>
      <c r="C542" s="471" t="s">
        <v>1808</v>
      </c>
      <c r="D542" s="473" t="s">
        <v>1027</v>
      </c>
      <c r="E542" s="468" t="s">
        <v>2413</v>
      </c>
      <c r="F542" s="475" t="s">
        <v>699</v>
      </c>
      <c r="G542" s="475" t="s">
        <v>1568</v>
      </c>
    </row>
    <row r="543" spans="1:7">
      <c r="A543" s="471" t="s">
        <v>929</v>
      </c>
      <c r="B543" s="472" t="s">
        <v>2414</v>
      </c>
      <c r="C543" s="471" t="s">
        <v>2415</v>
      </c>
      <c r="D543" s="473" t="s">
        <v>1027</v>
      </c>
      <c r="E543" s="468" t="s">
        <v>2416</v>
      </c>
      <c r="F543" s="475" t="s">
        <v>699</v>
      </c>
      <c r="G543" s="475" t="s">
        <v>1568</v>
      </c>
    </row>
    <row r="544" spans="1:7">
      <c r="A544" s="471" t="s">
        <v>929</v>
      </c>
      <c r="B544" s="472" t="s">
        <v>2417</v>
      </c>
      <c r="C544" s="471" t="s">
        <v>2418</v>
      </c>
      <c r="D544" s="473" t="s">
        <v>1027</v>
      </c>
      <c r="E544" s="468" t="s">
        <v>2419</v>
      </c>
      <c r="F544" s="475" t="s">
        <v>699</v>
      </c>
      <c r="G544" s="475" t="s">
        <v>1568</v>
      </c>
    </row>
    <row r="545" spans="1:7">
      <c r="A545" s="471" t="s">
        <v>929</v>
      </c>
      <c r="B545" s="472" t="s">
        <v>2420</v>
      </c>
      <c r="C545" s="471" t="s">
        <v>2421</v>
      </c>
      <c r="D545" s="473" t="s">
        <v>1027</v>
      </c>
      <c r="E545" s="468" t="s">
        <v>2422</v>
      </c>
      <c r="F545" s="475" t="s">
        <v>699</v>
      </c>
      <c r="G545" s="475" t="s">
        <v>1568</v>
      </c>
    </row>
    <row r="546" spans="1:7">
      <c r="A546" s="471" t="s">
        <v>929</v>
      </c>
      <c r="B546" s="472" t="s">
        <v>2423</v>
      </c>
      <c r="C546" s="471" t="s">
        <v>2424</v>
      </c>
      <c r="D546" s="473" t="s">
        <v>1027</v>
      </c>
      <c r="E546" s="468" t="s">
        <v>2425</v>
      </c>
      <c r="F546" s="475" t="s">
        <v>699</v>
      </c>
      <c r="G546" s="475" t="s">
        <v>1568</v>
      </c>
    </row>
    <row r="547" spans="1:7">
      <c r="A547" s="471" t="s">
        <v>929</v>
      </c>
      <c r="B547" s="472" t="s">
        <v>2426</v>
      </c>
      <c r="C547" s="471" t="s">
        <v>2427</v>
      </c>
      <c r="D547" s="473" t="s">
        <v>1027</v>
      </c>
      <c r="E547" s="468" t="s">
        <v>2428</v>
      </c>
      <c r="F547" s="475" t="s">
        <v>699</v>
      </c>
      <c r="G547" s="475" t="s">
        <v>1568</v>
      </c>
    </row>
    <row r="548" spans="1:7">
      <c r="A548" s="471" t="s">
        <v>929</v>
      </c>
      <c r="B548" s="472" t="s">
        <v>2429</v>
      </c>
      <c r="C548" s="471" t="s">
        <v>2430</v>
      </c>
      <c r="D548" s="473" t="s">
        <v>1027</v>
      </c>
      <c r="E548" s="468" t="s">
        <v>2431</v>
      </c>
      <c r="F548" s="475" t="s">
        <v>699</v>
      </c>
      <c r="G548" s="475" t="s">
        <v>1568</v>
      </c>
    </row>
    <row r="549" spans="1:7">
      <c r="A549" s="471" t="s">
        <v>929</v>
      </c>
      <c r="B549" s="472" t="s">
        <v>2432</v>
      </c>
      <c r="C549" s="471" t="s">
        <v>2433</v>
      </c>
      <c r="D549" s="473" t="s">
        <v>1027</v>
      </c>
      <c r="E549" s="468" t="s">
        <v>2434</v>
      </c>
      <c r="F549" s="479" t="s">
        <v>1029</v>
      </c>
      <c r="G549" s="475"/>
    </row>
    <row r="550" spans="1:7">
      <c r="A550" s="471" t="s">
        <v>929</v>
      </c>
      <c r="B550" s="472" t="s">
        <v>1810</v>
      </c>
      <c r="C550" s="471" t="s">
        <v>1811</v>
      </c>
      <c r="D550" s="473" t="s">
        <v>1027</v>
      </c>
      <c r="E550" s="468" t="s">
        <v>2435</v>
      </c>
      <c r="F550" s="475" t="s">
        <v>699</v>
      </c>
      <c r="G550" s="475" t="s">
        <v>1568</v>
      </c>
    </row>
    <row r="551" spans="1:7">
      <c r="A551" s="471" t="s">
        <v>929</v>
      </c>
      <c r="B551" s="472" t="s">
        <v>2436</v>
      </c>
      <c r="C551" s="471" t="s">
        <v>2437</v>
      </c>
      <c r="D551" s="473" t="s">
        <v>1027</v>
      </c>
      <c r="E551" s="468" t="s">
        <v>2438</v>
      </c>
      <c r="F551" s="475" t="s">
        <v>699</v>
      </c>
      <c r="G551" s="475" t="s">
        <v>1568</v>
      </c>
    </row>
    <row r="552" spans="1:7">
      <c r="A552" s="471" t="s">
        <v>929</v>
      </c>
      <c r="B552" s="472" t="s">
        <v>1061</v>
      </c>
      <c r="C552" s="471" t="s">
        <v>1062</v>
      </c>
      <c r="D552" s="473" t="s">
        <v>1027</v>
      </c>
      <c r="E552" s="468" t="s">
        <v>2439</v>
      </c>
      <c r="F552" s="475" t="s">
        <v>699</v>
      </c>
      <c r="G552" s="475" t="s">
        <v>1568</v>
      </c>
    </row>
    <row r="553" spans="1:7">
      <c r="A553" s="471" t="s">
        <v>2440</v>
      </c>
      <c r="B553" s="472" t="s">
        <v>2441</v>
      </c>
      <c r="C553" s="471" t="s">
        <v>2442</v>
      </c>
      <c r="D553" s="491"/>
      <c r="E553" s="468" t="s">
        <v>2443</v>
      </c>
      <c r="F553" s="476" t="s">
        <v>1029</v>
      </c>
      <c r="G553" s="477"/>
    </row>
    <row r="554" spans="1:7">
      <c r="A554" s="461" t="s">
        <v>2440</v>
      </c>
      <c r="B554" s="462"/>
      <c r="C554" s="467" t="s">
        <v>1022</v>
      </c>
      <c r="D554" s="463"/>
      <c r="E554" s="468" t="s">
        <v>2444</v>
      </c>
      <c r="F554" s="469"/>
      <c r="G554" s="497"/>
    </row>
    <row r="555" spans="1:7">
      <c r="A555" s="471" t="s">
        <v>2440</v>
      </c>
      <c r="B555" s="472" t="s">
        <v>1025</v>
      </c>
      <c r="C555" s="471" t="s">
        <v>1026</v>
      </c>
      <c r="D555" s="491"/>
      <c r="E555" s="468" t="s">
        <v>2445</v>
      </c>
      <c r="F555" s="474" t="s">
        <v>1029</v>
      </c>
      <c r="G555" s="477"/>
    </row>
    <row r="556" spans="1:7">
      <c r="A556" s="471" t="s">
        <v>2440</v>
      </c>
      <c r="B556" s="472" t="s">
        <v>1030</v>
      </c>
      <c r="C556" s="471" t="s">
        <v>1031</v>
      </c>
      <c r="D556" s="491"/>
      <c r="E556" s="468" t="s">
        <v>2446</v>
      </c>
      <c r="F556" s="494" t="s">
        <v>657</v>
      </c>
      <c r="G556" s="481" t="s">
        <v>662</v>
      </c>
    </row>
    <row r="557" spans="1:7">
      <c r="A557" s="471" t="s">
        <v>2440</v>
      </c>
      <c r="B557" s="472" t="s">
        <v>2447</v>
      </c>
      <c r="C557" s="471" t="s">
        <v>2448</v>
      </c>
      <c r="D557" s="491"/>
      <c r="E557" s="468" t="s">
        <v>2449</v>
      </c>
      <c r="F557" s="479" t="s">
        <v>1029</v>
      </c>
      <c r="G557" s="477"/>
    </row>
    <row r="558" spans="1:7">
      <c r="A558" s="471" t="s">
        <v>2440</v>
      </c>
      <c r="B558" s="472" t="s">
        <v>2450</v>
      </c>
      <c r="C558" s="471" t="s">
        <v>2451</v>
      </c>
      <c r="D558" s="491"/>
      <c r="E558" s="468" t="s">
        <v>2452</v>
      </c>
      <c r="F558" s="479" t="s">
        <v>1029</v>
      </c>
      <c r="G558" s="477"/>
    </row>
    <row r="559" spans="1:7">
      <c r="A559" s="471" t="s">
        <v>2440</v>
      </c>
      <c r="B559" s="472" t="s">
        <v>2453</v>
      </c>
      <c r="C559" s="471" t="s">
        <v>2454</v>
      </c>
      <c r="D559" s="491"/>
      <c r="E559" s="468" t="s">
        <v>2455</v>
      </c>
      <c r="F559" s="479" t="s">
        <v>1029</v>
      </c>
      <c r="G559" s="477"/>
    </row>
    <row r="560" spans="1:7">
      <c r="A560" s="471" t="s">
        <v>2440</v>
      </c>
      <c r="B560" s="472" t="s">
        <v>2456</v>
      </c>
      <c r="C560" s="471" t="s">
        <v>2457</v>
      </c>
      <c r="D560" s="491"/>
      <c r="E560" s="468" t="s">
        <v>2458</v>
      </c>
      <c r="F560" s="479" t="s">
        <v>1029</v>
      </c>
      <c r="G560" s="477"/>
    </row>
    <row r="561" spans="1:7">
      <c r="A561" s="471" t="s">
        <v>2440</v>
      </c>
      <c r="B561" s="472" t="s">
        <v>1061</v>
      </c>
      <c r="C561" s="471" t="s">
        <v>1062</v>
      </c>
      <c r="D561" s="473" t="s">
        <v>1027</v>
      </c>
      <c r="E561" s="468" t="s">
        <v>2459</v>
      </c>
      <c r="F561" s="475" t="s">
        <v>657</v>
      </c>
      <c r="G561" s="481" t="s">
        <v>662</v>
      </c>
    </row>
    <row r="562" spans="1:7">
      <c r="A562" s="471" t="s">
        <v>2440</v>
      </c>
      <c r="B562" s="472" t="s">
        <v>2460</v>
      </c>
      <c r="C562" s="471" t="s">
        <v>2461</v>
      </c>
      <c r="D562" s="473" t="s">
        <v>1027</v>
      </c>
      <c r="E562" s="468" t="s">
        <v>2462</v>
      </c>
      <c r="F562" s="475" t="s">
        <v>657</v>
      </c>
      <c r="G562" s="475" t="s">
        <v>659</v>
      </c>
    </row>
    <row r="563" spans="1:7">
      <c r="A563" s="471" t="s">
        <v>2440</v>
      </c>
      <c r="B563" s="482" t="s">
        <v>2463</v>
      </c>
      <c r="C563" s="483" t="s">
        <v>2464</v>
      </c>
      <c r="D563" s="491"/>
      <c r="E563" s="468" t="s">
        <v>2465</v>
      </c>
      <c r="F563" s="475" t="s">
        <v>770</v>
      </c>
      <c r="G563" s="475" t="s">
        <v>2466</v>
      </c>
    </row>
    <row r="564" spans="1:7">
      <c r="A564" s="471" t="s">
        <v>2440</v>
      </c>
      <c r="B564" s="472" t="s">
        <v>2467</v>
      </c>
      <c r="C564" s="471" t="s">
        <v>2468</v>
      </c>
      <c r="D564" s="473" t="s">
        <v>1027</v>
      </c>
      <c r="E564" s="468" t="s">
        <v>2469</v>
      </c>
      <c r="F564" s="475" t="s">
        <v>657</v>
      </c>
      <c r="G564" s="475" t="s">
        <v>659</v>
      </c>
    </row>
    <row r="565" spans="1:7">
      <c r="A565" s="471" t="s">
        <v>2440</v>
      </c>
      <c r="B565" s="472" t="s">
        <v>2470</v>
      </c>
      <c r="C565" s="471" t="s">
        <v>2471</v>
      </c>
      <c r="D565" s="473" t="s">
        <v>1027</v>
      </c>
      <c r="E565" s="468" t="s">
        <v>2472</v>
      </c>
      <c r="F565" s="475" t="s">
        <v>657</v>
      </c>
      <c r="G565" s="481" t="s">
        <v>662</v>
      </c>
    </row>
    <row r="566" spans="1:7">
      <c r="A566" s="471" t="s">
        <v>2440</v>
      </c>
      <c r="B566" s="472" t="s">
        <v>2473</v>
      </c>
      <c r="C566" s="471" t="s">
        <v>2474</v>
      </c>
      <c r="D566" s="473" t="s">
        <v>1027</v>
      </c>
      <c r="E566" s="468" t="s">
        <v>2475</v>
      </c>
      <c r="F566" s="479" t="s">
        <v>1029</v>
      </c>
      <c r="G566" s="475"/>
    </row>
    <row r="567" spans="1:7">
      <c r="A567" s="471" t="s">
        <v>2440</v>
      </c>
      <c r="B567" s="472" t="s">
        <v>1844</v>
      </c>
      <c r="C567" s="471" t="s">
        <v>1845</v>
      </c>
      <c r="D567" s="473" t="s">
        <v>1027</v>
      </c>
      <c r="E567" s="468" t="s">
        <v>2476</v>
      </c>
      <c r="F567" s="475" t="s">
        <v>657</v>
      </c>
      <c r="G567" s="475" t="s">
        <v>659</v>
      </c>
    </row>
    <row r="568" spans="1:7">
      <c r="A568" s="471" t="s">
        <v>2440</v>
      </c>
      <c r="B568" s="472" t="s">
        <v>2477</v>
      </c>
      <c r="C568" s="471" t="s">
        <v>2478</v>
      </c>
      <c r="D568" s="473" t="s">
        <v>1027</v>
      </c>
      <c r="E568" s="468" t="s">
        <v>2479</v>
      </c>
      <c r="F568" s="475" t="s">
        <v>657</v>
      </c>
      <c r="G568" s="475" t="s">
        <v>659</v>
      </c>
    </row>
    <row r="569" spans="1:7">
      <c r="A569" s="471" t="s">
        <v>2440</v>
      </c>
      <c r="B569" s="472" t="s">
        <v>2480</v>
      </c>
      <c r="C569" s="471" t="s">
        <v>2481</v>
      </c>
      <c r="D569" s="473" t="s">
        <v>1027</v>
      </c>
      <c r="E569" s="468" t="s">
        <v>2482</v>
      </c>
      <c r="F569" s="475" t="s">
        <v>657</v>
      </c>
      <c r="G569" s="481" t="s">
        <v>662</v>
      </c>
    </row>
    <row r="570" spans="1:7">
      <c r="A570" s="471" t="s">
        <v>2440</v>
      </c>
      <c r="B570" s="472" t="s">
        <v>2483</v>
      </c>
      <c r="C570" s="471" t="s">
        <v>2484</v>
      </c>
      <c r="D570" s="491"/>
      <c r="E570" s="468" t="s">
        <v>2485</v>
      </c>
      <c r="F570" s="475" t="s">
        <v>535</v>
      </c>
      <c r="G570" s="475" t="s">
        <v>2486</v>
      </c>
    </row>
    <row r="571" spans="1:7">
      <c r="A571" s="471" t="s">
        <v>2440</v>
      </c>
      <c r="B571" s="472" t="s">
        <v>2487</v>
      </c>
      <c r="C571" s="471" t="s">
        <v>2488</v>
      </c>
      <c r="D571" s="473" t="s">
        <v>1027</v>
      </c>
      <c r="E571" s="468" t="s">
        <v>2489</v>
      </c>
      <c r="F571" s="475" t="s">
        <v>535</v>
      </c>
      <c r="G571" s="475" t="s">
        <v>540</v>
      </c>
    </row>
    <row r="572" spans="1:7">
      <c r="A572" s="471" t="s">
        <v>2440</v>
      </c>
      <c r="B572" s="472" t="s">
        <v>2490</v>
      </c>
      <c r="C572" s="471" t="s">
        <v>2491</v>
      </c>
      <c r="D572" s="491"/>
      <c r="E572" s="468" t="s">
        <v>2492</v>
      </c>
      <c r="F572" s="486" t="s">
        <v>1029</v>
      </c>
      <c r="G572" s="477"/>
    </row>
    <row r="573" spans="1:7">
      <c r="A573" s="471" t="s">
        <v>2440</v>
      </c>
      <c r="B573" s="472" t="s">
        <v>2493</v>
      </c>
      <c r="C573" s="471" t="s">
        <v>2494</v>
      </c>
      <c r="D573" s="473" t="s">
        <v>1027</v>
      </c>
      <c r="E573" s="468" t="s">
        <v>2495</v>
      </c>
      <c r="F573" s="475" t="s">
        <v>1029</v>
      </c>
      <c r="G573" s="477"/>
    </row>
    <row r="574" spans="1:7">
      <c r="A574" s="471" t="s">
        <v>2440</v>
      </c>
      <c r="B574" s="472" t="s">
        <v>2201</v>
      </c>
      <c r="C574" s="471" t="s">
        <v>2202</v>
      </c>
      <c r="D574" s="473" t="s">
        <v>1027</v>
      </c>
      <c r="E574" s="468" t="s">
        <v>2496</v>
      </c>
      <c r="F574" s="475" t="s">
        <v>1819</v>
      </c>
      <c r="G574" s="477" t="s">
        <v>2466</v>
      </c>
    </row>
    <row r="575" spans="1:7">
      <c r="A575" s="471" t="s">
        <v>2440</v>
      </c>
      <c r="B575" s="472" t="s">
        <v>2497</v>
      </c>
      <c r="C575" s="471" t="s">
        <v>2498</v>
      </c>
      <c r="D575" s="491"/>
      <c r="E575" s="468" t="s">
        <v>2499</v>
      </c>
      <c r="F575" s="479" t="s">
        <v>1029</v>
      </c>
      <c r="G575" s="477"/>
    </row>
    <row r="576" spans="1:7">
      <c r="A576" s="471" t="s">
        <v>2440</v>
      </c>
      <c r="B576" s="472" t="s">
        <v>2500</v>
      </c>
      <c r="C576" s="471" t="s">
        <v>2501</v>
      </c>
      <c r="D576" s="473" t="s">
        <v>1027</v>
      </c>
      <c r="E576" s="468" t="s">
        <v>2502</v>
      </c>
      <c r="F576" s="475" t="s">
        <v>760</v>
      </c>
      <c r="G576" s="477" t="s">
        <v>762</v>
      </c>
    </row>
    <row r="577" spans="1:7">
      <c r="A577" s="471" t="s">
        <v>2440</v>
      </c>
      <c r="B577" s="472" t="s">
        <v>1207</v>
      </c>
      <c r="C577" s="471" t="s">
        <v>2503</v>
      </c>
      <c r="D577" s="491"/>
      <c r="E577" s="468" t="s">
        <v>2504</v>
      </c>
      <c r="F577" s="486" t="s">
        <v>1029</v>
      </c>
      <c r="G577" s="477"/>
    </row>
    <row r="578" spans="1:7">
      <c r="A578" s="471" t="s">
        <v>2440</v>
      </c>
      <c r="B578" s="472" t="s">
        <v>1405</v>
      </c>
      <c r="C578" s="471" t="s">
        <v>1406</v>
      </c>
      <c r="D578" s="473" t="s">
        <v>1027</v>
      </c>
      <c r="E578" s="468" t="s">
        <v>2505</v>
      </c>
      <c r="F578" s="475" t="s">
        <v>748</v>
      </c>
      <c r="G578" s="475" t="s">
        <v>750</v>
      </c>
    </row>
    <row r="579" spans="1:7">
      <c r="A579" s="471" t="s">
        <v>2440</v>
      </c>
      <c r="B579" s="472" t="s">
        <v>2506</v>
      </c>
      <c r="C579" s="471" t="s">
        <v>2507</v>
      </c>
      <c r="D579" s="491"/>
      <c r="E579" s="468" t="s">
        <v>2508</v>
      </c>
      <c r="F579" s="486" t="s">
        <v>1029</v>
      </c>
      <c r="G579" s="486"/>
    </row>
    <row r="580" spans="1:7">
      <c r="A580" s="471" t="s">
        <v>2440</v>
      </c>
      <c r="B580" s="472" t="s">
        <v>2509</v>
      </c>
      <c r="C580" s="471" t="s">
        <v>2510</v>
      </c>
      <c r="D580" s="473" t="s">
        <v>1027</v>
      </c>
      <c r="E580" s="468" t="s">
        <v>2511</v>
      </c>
      <c r="F580" s="475" t="s">
        <v>695</v>
      </c>
      <c r="G580" s="475" t="s">
        <v>2512</v>
      </c>
    </row>
    <row r="581" spans="1:7">
      <c r="A581" s="471" t="s">
        <v>2440</v>
      </c>
      <c r="B581" s="472" t="s">
        <v>2513</v>
      </c>
      <c r="C581" s="471" t="s">
        <v>2514</v>
      </c>
      <c r="D581" s="491"/>
      <c r="E581" s="468" t="s">
        <v>2515</v>
      </c>
      <c r="F581" s="479" t="s">
        <v>1029</v>
      </c>
      <c r="G581" s="486"/>
    </row>
    <row r="582" spans="1:7">
      <c r="A582" s="471" t="s">
        <v>2440</v>
      </c>
      <c r="B582" s="472" t="s">
        <v>2516</v>
      </c>
      <c r="C582" s="471" t="s">
        <v>2517</v>
      </c>
      <c r="D582" s="473" t="s">
        <v>1027</v>
      </c>
      <c r="E582" s="468" t="s">
        <v>2518</v>
      </c>
      <c r="F582" s="475" t="s">
        <v>695</v>
      </c>
      <c r="G582" s="475" t="s">
        <v>2512</v>
      </c>
    </row>
    <row r="583" spans="1:7">
      <c r="A583" s="471" t="s">
        <v>2440</v>
      </c>
      <c r="B583" s="472" t="s">
        <v>2519</v>
      </c>
      <c r="C583" s="471" t="s">
        <v>2520</v>
      </c>
      <c r="D583" s="473" t="s">
        <v>1027</v>
      </c>
      <c r="E583" s="468" t="s">
        <v>2521</v>
      </c>
      <c r="F583" s="475" t="s">
        <v>803</v>
      </c>
      <c r="G583" s="475" t="s">
        <v>2522</v>
      </c>
    </row>
    <row r="584" spans="1:7">
      <c r="A584" s="471" t="s">
        <v>2440</v>
      </c>
      <c r="B584" s="472" t="s">
        <v>2523</v>
      </c>
      <c r="C584" s="471" t="s">
        <v>2524</v>
      </c>
      <c r="D584" s="473" t="s">
        <v>1027</v>
      </c>
      <c r="E584" s="468" t="s">
        <v>2525</v>
      </c>
      <c r="F584" s="475" t="s">
        <v>695</v>
      </c>
      <c r="G584" s="475" t="s">
        <v>2526</v>
      </c>
    </row>
    <row r="585" spans="1:7">
      <c r="A585" s="471" t="s">
        <v>2440</v>
      </c>
      <c r="B585" s="472" t="s">
        <v>2527</v>
      </c>
      <c r="C585" s="471" t="s">
        <v>2528</v>
      </c>
      <c r="D585" s="491"/>
      <c r="E585" s="468" t="s">
        <v>2529</v>
      </c>
      <c r="F585" s="479" t="s">
        <v>1029</v>
      </c>
      <c r="G585" s="486"/>
    </row>
    <row r="586" spans="1:7">
      <c r="A586" s="471" t="s">
        <v>2440</v>
      </c>
      <c r="B586" s="472" t="s">
        <v>2530</v>
      </c>
      <c r="C586" s="471" t="s">
        <v>2531</v>
      </c>
      <c r="D586" s="473" t="s">
        <v>1027</v>
      </c>
      <c r="E586" s="468" t="s">
        <v>2532</v>
      </c>
      <c r="F586" s="475" t="s">
        <v>695</v>
      </c>
      <c r="G586" s="475" t="s">
        <v>2526</v>
      </c>
    </row>
    <row r="587" spans="1:7">
      <c r="A587" s="471" t="s">
        <v>2440</v>
      </c>
      <c r="B587" s="472" t="s">
        <v>2533</v>
      </c>
      <c r="C587" s="471" t="s">
        <v>2534</v>
      </c>
      <c r="D587" s="473" t="s">
        <v>1027</v>
      </c>
      <c r="E587" s="468" t="s">
        <v>2535</v>
      </c>
      <c r="F587" s="475" t="s">
        <v>657</v>
      </c>
      <c r="G587" s="475" t="s">
        <v>662</v>
      </c>
    </row>
    <row r="588" spans="1:7">
      <c r="A588" s="471" t="s">
        <v>2440</v>
      </c>
      <c r="B588" s="472" t="s">
        <v>2536</v>
      </c>
      <c r="C588" s="471" t="s">
        <v>2537</v>
      </c>
      <c r="D588" s="473" t="s">
        <v>1027</v>
      </c>
      <c r="E588" s="468" t="s">
        <v>2538</v>
      </c>
      <c r="F588" s="475" t="s">
        <v>657</v>
      </c>
      <c r="G588" s="475" t="s">
        <v>663</v>
      </c>
    </row>
    <row r="589" spans="1:7">
      <c r="A589" s="471" t="s">
        <v>2440</v>
      </c>
      <c r="B589" s="472" t="s">
        <v>2539</v>
      </c>
      <c r="C589" s="471" t="s">
        <v>2540</v>
      </c>
      <c r="D589" s="473" t="s">
        <v>1027</v>
      </c>
      <c r="E589" s="468" t="s">
        <v>2541</v>
      </c>
      <c r="F589" s="475" t="s">
        <v>657</v>
      </c>
      <c r="G589" s="475" t="s">
        <v>663</v>
      </c>
    </row>
    <row r="590" spans="1:7">
      <c r="A590" s="471" t="s">
        <v>2440</v>
      </c>
      <c r="B590" s="472" t="s">
        <v>2542</v>
      </c>
      <c r="C590" s="471" t="s">
        <v>2543</v>
      </c>
      <c r="D590" s="473" t="s">
        <v>1027</v>
      </c>
      <c r="E590" s="468" t="s">
        <v>2544</v>
      </c>
      <c r="F590" s="475" t="s">
        <v>657</v>
      </c>
      <c r="G590" s="475" t="s">
        <v>662</v>
      </c>
    </row>
    <row r="591" spans="1:7">
      <c r="A591" s="471" t="s">
        <v>2440</v>
      </c>
      <c r="B591" s="472" t="s">
        <v>2545</v>
      </c>
      <c r="C591" s="471" t="s">
        <v>2546</v>
      </c>
      <c r="D591" s="491"/>
      <c r="E591" s="468" t="s">
        <v>2547</v>
      </c>
      <c r="F591" s="486" t="s">
        <v>1029</v>
      </c>
      <c r="G591" s="477"/>
    </row>
    <row r="592" spans="1:7">
      <c r="A592" s="471" t="s">
        <v>2440</v>
      </c>
      <c r="B592" s="472" t="s">
        <v>2548</v>
      </c>
      <c r="C592" s="471" t="s">
        <v>2549</v>
      </c>
      <c r="D592" s="491"/>
      <c r="E592" s="468" t="s">
        <v>2550</v>
      </c>
      <c r="F592" s="486" t="s">
        <v>1029</v>
      </c>
      <c r="G592" s="477"/>
    </row>
    <row r="593" spans="1:7">
      <c r="A593" s="471" t="s">
        <v>2440</v>
      </c>
      <c r="B593" s="472" t="s">
        <v>2551</v>
      </c>
      <c r="C593" s="471" t="s">
        <v>2552</v>
      </c>
      <c r="D593" s="491"/>
      <c r="E593" s="468" t="s">
        <v>2553</v>
      </c>
      <c r="F593" s="479" t="s">
        <v>1029</v>
      </c>
      <c r="G593" s="477"/>
    </row>
    <row r="594" spans="1:7">
      <c r="A594" s="471" t="s">
        <v>2440</v>
      </c>
      <c r="B594" s="472" t="s">
        <v>2554</v>
      </c>
      <c r="C594" s="471" t="s">
        <v>2555</v>
      </c>
      <c r="D594" s="491"/>
      <c r="E594" s="468" t="s">
        <v>2556</v>
      </c>
      <c r="F594" s="486" t="s">
        <v>1029</v>
      </c>
      <c r="G594" s="477"/>
    </row>
    <row r="595" spans="1:7">
      <c r="A595" s="471" t="s">
        <v>2440</v>
      </c>
      <c r="B595" s="472" t="s">
        <v>2557</v>
      </c>
      <c r="C595" s="471" t="s">
        <v>2558</v>
      </c>
      <c r="D595" s="473" t="s">
        <v>1027</v>
      </c>
      <c r="E595" s="468" t="s">
        <v>2559</v>
      </c>
      <c r="F595" s="476" t="s">
        <v>1819</v>
      </c>
      <c r="G595" s="486" t="s">
        <v>2466</v>
      </c>
    </row>
    <row r="596" spans="1:7">
      <c r="A596" s="471" t="s">
        <v>2440</v>
      </c>
      <c r="B596" s="472" t="s">
        <v>2560</v>
      </c>
      <c r="C596" s="471" t="s">
        <v>2561</v>
      </c>
      <c r="D596" s="473" t="s">
        <v>1027</v>
      </c>
      <c r="E596" s="468" t="s">
        <v>2562</v>
      </c>
      <c r="F596" s="476" t="s">
        <v>1819</v>
      </c>
      <c r="G596" s="486" t="s">
        <v>2466</v>
      </c>
    </row>
    <row r="597" spans="1:7">
      <c r="A597" s="471" t="s">
        <v>2440</v>
      </c>
      <c r="B597" s="472" t="s">
        <v>2563</v>
      </c>
      <c r="C597" s="471" t="s">
        <v>2564</v>
      </c>
      <c r="D597" s="473" t="s">
        <v>1027</v>
      </c>
      <c r="E597" s="468" t="s">
        <v>2565</v>
      </c>
      <c r="F597" s="476" t="s">
        <v>1819</v>
      </c>
      <c r="G597" s="486" t="s">
        <v>2466</v>
      </c>
    </row>
    <row r="598" spans="1:7">
      <c r="A598" s="471" t="s">
        <v>2440</v>
      </c>
      <c r="B598" s="472" t="s">
        <v>2566</v>
      </c>
      <c r="C598" s="471" t="s">
        <v>2567</v>
      </c>
      <c r="D598" s="473" t="s">
        <v>1027</v>
      </c>
      <c r="E598" s="468" t="s">
        <v>2568</v>
      </c>
      <c r="F598" s="475" t="s">
        <v>657</v>
      </c>
      <c r="G598" s="486" t="s">
        <v>662</v>
      </c>
    </row>
    <row r="599" spans="1:7">
      <c r="A599" s="471" t="s">
        <v>2440</v>
      </c>
      <c r="B599" s="472" t="s">
        <v>2569</v>
      </c>
      <c r="C599" s="471" t="s">
        <v>2570</v>
      </c>
      <c r="D599" s="491"/>
      <c r="E599" s="468" t="s">
        <v>2571</v>
      </c>
      <c r="F599" s="479" t="s">
        <v>1029</v>
      </c>
      <c r="G599" s="486"/>
    </row>
    <row r="600" spans="1:7">
      <c r="A600" s="471" t="s">
        <v>2440</v>
      </c>
      <c r="B600" s="472" t="s">
        <v>2572</v>
      </c>
      <c r="C600" s="471" t="s">
        <v>2573</v>
      </c>
      <c r="D600" s="491"/>
      <c r="E600" s="468" t="s">
        <v>2574</v>
      </c>
      <c r="F600" s="486" t="s">
        <v>1029</v>
      </c>
      <c r="G600" s="486"/>
    </row>
    <row r="601" spans="1:7">
      <c r="A601" s="471" t="s">
        <v>2440</v>
      </c>
      <c r="B601" s="472" t="s">
        <v>2575</v>
      </c>
      <c r="C601" s="471" t="s">
        <v>2576</v>
      </c>
      <c r="D601" s="473" t="s">
        <v>1027</v>
      </c>
      <c r="E601" s="468" t="s">
        <v>2577</v>
      </c>
      <c r="F601" s="489" t="s">
        <v>803</v>
      </c>
      <c r="G601" s="486" t="s">
        <v>2578</v>
      </c>
    </row>
    <row r="602" spans="1:7">
      <c r="A602" s="471" t="s">
        <v>2440</v>
      </c>
      <c r="B602" s="472" t="s">
        <v>2579</v>
      </c>
      <c r="C602" s="471" t="s">
        <v>2580</v>
      </c>
      <c r="D602" s="473" t="s">
        <v>1027</v>
      </c>
      <c r="E602" s="468" t="s">
        <v>2581</v>
      </c>
      <c r="F602" s="475" t="s">
        <v>1823</v>
      </c>
      <c r="G602" s="486" t="s">
        <v>688</v>
      </c>
    </row>
    <row r="603" spans="1:7">
      <c r="A603" s="471" t="s">
        <v>2440</v>
      </c>
      <c r="B603" s="472" t="s">
        <v>2582</v>
      </c>
      <c r="C603" s="471" t="s">
        <v>2583</v>
      </c>
      <c r="D603" s="473" t="s">
        <v>1027</v>
      </c>
      <c r="E603" s="468" t="s">
        <v>2584</v>
      </c>
      <c r="F603" s="475" t="s">
        <v>1823</v>
      </c>
      <c r="G603" s="486" t="s">
        <v>685</v>
      </c>
    </row>
    <row r="604" spans="1:7">
      <c r="A604" s="471" t="s">
        <v>2440</v>
      </c>
      <c r="B604" s="472" t="s">
        <v>2585</v>
      </c>
      <c r="C604" s="471" t="s">
        <v>2586</v>
      </c>
      <c r="D604" s="473" t="s">
        <v>1027</v>
      </c>
      <c r="E604" s="468" t="s">
        <v>2587</v>
      </c>
      <c r="F604" s="475" t="s">
        <v>1823</v>
      </c>
      <c r="G604" s="486" t="s">
        <v>685</v>
      </c>
    </row>
    <row r="605" spans="1:7">
      <c r="A605" s="471" t="s">
        <v>2440</v>
      </c>
      <c r="B605" s="472" t="s">
        <v>2588</v>
      </c>
      <c r="C605" s="471" t="s">
        <v>2589</v>
      </c>
      <c r="D605" s="473" t="s">
        <v>1027</v>
      </c>
      <c r="E605" s="468" t="s">
        <v>2590</v>
      </c>
      <c r="F605" s="479" t="s">
        <v>1029</v>
      </c>
      <c r="G605" s="486"/>
    </row>
    <row r="606" spans="1:7">
      <c r="A606" s="471" t="s">
        <v>2440</v>
      </c>
      <c r="B606" s="472" t="s">
        <v>2487</v>
      </c>
      <c r="C606" s="471" t="s">
        <v>2591</v>
      </c>
      <c r="D606" s="473" t="s">
        <v>1027</v>
      </c>
      <c r="E606" s="468" t="s">
        <v>2592</v>
      </c>
      <c r="F606" s="475" t="s">
        <v>1823</v>
      </c>
      <c r="G606" s="486" t="s">
        <v>685</v>
      </c>
    </row>
    <row r="607" spans="1:7">
      <c r="A607" s="471" t="s">
        <v>2440</v>
      </c>
      <c r="B607" s="472" t="s">
        <v>2593</v>
      </c>
      <c r="C607" s="471" t="s">
        <v>2594</v>
      </c>
      <c r="D607" s="473" t="s">
        <v>1027</v>
      </c>
      <c r="E607" s="468" t="s">
        <v>2595</v>
      </c>
      <c r="F607" s="479" t="s">
        <v>1029</v>
      </c>
      <c r="G607" s="486"/>
    </row>
    <row r="608" spans="1:7">
      <c r="A608" s="471" t="s">
        <v>2440</v>
      </c>
      <c r="B608" s="472" t="s">
        <v>2596</v>
      </c>
      <c r="C608" s="471" t="s">
        <v>2597</v>
      </c>
      <c r="D608" s="473" t="s">
        <v>1027</v>
      </c>
      <c r="E608" s="468" t="s">
        <v>2598</v>
      </c>
      <c r="F608" s="475" t="s">
        <v>657</v>
      </c>
      <c r="G608" s="486" t="s">
        <v>662</v>
      </c>
    </row>
    <row r="609" spans="1:7">
      <c r="A609" s="471" t="s">
        <v>2440</v>
      </c>
      <c r="B609" s="472" t="s">
        <v>1207</v>
      </c>
      <c r="C609" s="471" t="s">
        <v>2599</v>
      </c>
      <c r="D609" s="491"/>
      <c r="E609" s="468" t="s">
        <v>2600</v>
      </c>
      <c r="F609" s="486" t="s">
        <v>1029</v>
      </c>
      <c r="G609" s="486"/>
    </row>
    <row r="610" spans="1:7">
      <c r="A610" s="461" t="s">
        <v>699</v>
      </c>
      <c r="B610" s="462"/>
      <c r="C610" s="462" t="s">
        <v>1022</v>
      </c>
      <c r="D610" s="463"/>
      <c r="E610" s="468" t="s">
        <v>2601</v>
      </c>
      <c r="F610" s="469"/>
      <c r="G610" s="486"/>
    </row>
    <row r="611" spans="1:7">
      <c r="A611" s="471" t="s">
        <v>699</v>
      </c>
      <c r="B611" s="472" t="s">
        <v>1025</v>
      </c>
      <c r="C611" s="471" t="s">
        <v>1026</v>
      </c>
      <c r="D611" s="491"/>
      <c r="E611" s="468" t="s">
        <v>2602</v>
      </c>
      <c r="F611" s="474" t="s">
        <v>1029</v>
      </c>
      <c r="G611" s="486"/>
    </row>
    <row r="612" spans="1:7">
      <c r="A612" s="471" t="s">
        <v>699</v>
      </c>
      <c r="B612" s="472" t="s">
        <v>1030</v>
      </c>
      <c r="C612" s="471" t="s">
        <v>1031</v>
      </c>
      <c r="D612" s="491"/>
      <c r="E612" s="468" t="s">
        <v>2603</v>
      </c>
      <c r="F612" s="476" t="s">
        <v>699</v>
      </c>
      <c r="G612" s="486" t="s">
        <v>1568</v>
      </c>
    </row>
    <row r="613" spans="1:7">
      <c r="A613" s="471" t="s">
        <v>699</v>
      </c>
      <c r="B613" s="472" t="s">
        <v>932</v>
      </c>
      <c r="C613" s="471" t="s">
        <v>933</v>
      </c>
      <c r="D613" s="473" t="s">
        <v>1027</v>
      </c>
      <c r="E613" s="468" t="s">
        <v>2604</v>
      </c>
      <c r="F613" s="475" t="s">
        <v>699</v>
      </c>
      <c r="G613" s="486" t="s">
        <v>732</v>
      </c>
    </row>
    <row r="614" spans="1:7">
      <c r="A614" s="471" t="s">
        <v>699</v>
      </c>
      <c r="B614" s="472" t="s">
        <v>934</v>
      </c>
      <c r="C614" s="471" t="s">
        <v>935</v>
      </c>
      <c r="D614" s="473" t="s">
        <v>1027</v>
      </c>
      <c r="E614" s="468" t="s">
        <v>2605</v>
      </c>
      <c r="F614" s="475" t="s">
        <v>699</v>
      </c>
      <c r="G614" s="486" t="s">
        <v>732</v>
      </c>
    </row>
    <row r="615" spans="1:7">
      <c r="A615" s="471" t="s">
        <v>699</v>
      </c>
      <c r="B615" s="472" t="s">
        <v>917</v>
      </c>
      <c r="C615" s="471" t="s">
        <v>918</v>
      </c>
      <c r="D615" s="473" t="s">
        <v>1027</v>
      </c>
      <c r="E615" s="468" t="s">
        <v>2606</v>
      </c>
      <c r="F615" s="475" t="s">
        <v>699</v>
      </c>
      <c r="G615" s="486" t="s">
        <v>732</v>
      </c>
    </row>
    <row r="616" spans="1:7">
      <c r="A616" s="471" t="s">
        <v>699</v>
      </c>
      <c r="B616" s="472" t="s">
        <v>936</v>
      </c>
      <c r="C616" s="471" t="s">
        <v>937</v>
      </c>
      <c r="D616" s="473" t="s">
        <v>1027</v>
      </c>
      <c r="E616" s="468" t="s">
        <v>2607</v>
      </c>
      <c r="F616" s="475" t="s">
        <v>699</v>
      </c>
      <c r="G616" s="486" t="s">
        <v>732</v>
      </c>
    </row>
    <row r="617" spans="1:7">
      <c r="A617" s="471" t="s">
        <v>699</v>
      </c>
      <c r="B617" s="472" t="s">
        <v>2608</v>
      </c>
      <c r="C617" s="471" t="s">
        <v>2609</v>
      </c>
      <c r="D617" s="473" t="s">
        <v>1027</v>
      </c>
      <c r="E617" s="468" t="s">
        <v>2610</v>
      </c>
      <c r="F617" s="479" t="s">
        <v>1029</v>
      </c>
      <c r="G617" s="486"/>
    </row>
    <row r="618" spans="1:7">
      <c r="A618" s="471" t="s">
        <v>699</v>
      </c>
      <c r="B618" s="472" t="s">
        <v>938</v>
      </c>
      <c r="C618" s="471" t="s">
        <v>939</v>
      </c>
      <c r="D618" s="473" t="s">
        <v>1027</v>
      </c>
      <c r="E618" s="468" t="s">
        <v>2611</v>
      </c>
      <c r="F618" s="475" t="s">
        <v>699</v>
      </c>
      <c r="G618" s="486" t="s">
        <v>732</v>
      </c>
    </row>
    <row r="619" spans="1:7">
      <c r="A619" s="471" t="s">
        <v>699</v>
      </c>
      <c r="B619" s="472" t="s">
        <v>957</v>
      </c>
      <c r="C619" s="471" t="s">
        <v>958</v>
      </c>
      <c r="D619" s="473" t="s">
        <v>1027</v>
      </c>
      <c r="E619" s="468" t="s">
        <v>2612</v>
      </c>
      <c r="F619" s="475" t="s">
        <v>699</v>
      </c>
      <c r="G619" s="486" t="s">
        <v>710</v>
      </c>
    </row>
    <row r="620" spans="1:7">
      <c r="A620" s="471" t="s">
        <v>699</v>
      </c>
      <c r="B620" s="472" t="s">
        <v>959</v>
      </c>
      <c r="C620" s="471" t="s">
        <v>960</v>
      </c>
      <c r="D620" s="473" t="s">
        <v>1027</v>
      </c>
      <c r="E620" s="468" t="s">
        <v>2613</v>
      </c>
      <c r="F620" s="475" t="s">
        <v>699</v>
      </c>
      <c r="G620" s="486" t="s">
        <v>710</v>
      </c>
    </row>
    <row r="621" spans="1:7">
      <c r="A621" s="471" t="s">
        <v>699</v>
      </c>
      <c r="B621" s="472" t="s">
        <v>961</v>
      </c>
      <c r="C621" s="471" t="s">
        <v>962</v>
      </c>
      <c r="D621" s="473" t="s">
        <v>1027</v>
      </c>
      <c r="E621" s="468" t="s">
        <v>2614</v>
      </c>
      <c r="F621" s="475" t="s">
        <v>699</v>
      </c>
      <c r="G621" s="486" t="s">
        <v>710</v>
      </c>
    </row>
    <row r="622" spans="1:7">
      <c r="A622" s="471" t="s">
        <v>699</v>
      </c>
      <c r="B622" s="472" t="s">
        <v>949</v>
      </c>
      <c r="C622" s="471" t="s">
        <v>950</v>
      </c>
      <c r="D622" s="473" t="s">
        <v>1027</v>
      </c>
      <c r="E622" s="468" t="s">
        <v>2615</v>
      </c>
      <c r="F622" s="475" t="s">
        <v>699</v>
      </c>
      <c r="G622" s="486" t="s">
        <v>710</v>
      </c>
    </row>
    <row r="623" spans="1:7">
      <c r="A623" s="471" t="s">
        <v>699</v>
      </c>
      <c r="B623" s="472" t="s">
        <v>963</v>
      </c>
      <c r="C623" s="471" t="s">
        <v>964</v>
      </c>
      <c r="D623" s="473" t="s">
        <v>1027</v>
      </c>
      <c r="E623" s="468" t="s">
        <v>2616</v>
      </c>
      <c r="F623" s="475" t="s">
        <v>699</v>
      </c>
      <c r="G623" s="486" t="s">
        <v>710</v>
      </c>
    </row>
    <row r="624" spans="1:7">
      <c r="A624" s="471" t="s">
        <v>699</v>
      </c>
      <c r="B624" s="472" t="s">
        <v>965</v>
      </c>
      <c r="C624" s="471" t="s">
        <v>966</v>
      </c>
      <c r="D624" s="473" t="s">
        <v>1027</v>
      </c>
      <c r="E624" s="468" t="s">
        <v>2617</v>
      </c>
      <c r="F624" s="475" t="s">
        <v>699</v>
      </c>
      <c r="G624" s="486" t="s">
        <v>710</v>
      </c>
    </row>
    <row r="625" spans="1:7">
      <c r="A625" s="471" t="s">
        <v>699</v>
      </c>
      <c r="B625" s="472" t="s">
        <v>2618</v>
      </c>
      <c r="C625" s="471" t="s">
        <v>2619</v>
      </c>
      <c r="D625" s="473" t="s">
        <v>1027</v>
      </c>
      <c r="E625" s="468" t="s">
        <v>2620</v>
      </c>
      <c r="F625" s="479" t="s">
        <v>1029</v>
      </c>
      <c r="G625" s="486"/>
    </row>
    <row r="626" spans="1:7">
      <c r="A626" s="471" t="s">
        <v>699</v>
      </c>
      <c r="B626" s="472" t="s">
        <v>2621</v>
      </c>
      <c r="C626" s="471" t="s">
        <v>2622</v>
      </c>
      <c r="D626" s="473" t="s">
        <v>1027</v>
      </c>
      <c r="E626" s="468" t="s">
        <v>2623</v>
      </c>
      <c r="F626" s="475" t="s">
        <v>699</v>
      </c>
      <c r="G626" s="486" t="s">
        <v>710</v>
      </c>
    </row>
    <row r="627" spans="1:7">
      <c r="A627" s="471" t="s">
        <v>699</v>
      </c>
      <c r="B627" s="472" t="s">
        <v>919</v>
      </c>
      <c r="C627" s="471" t="s">
        <v>920</v>
      </c>
      <c r="D627" s="473" t="s">
        <v>1027</v>
      </c>
      <c r="E627" s="468" t="s">
        <v>2624</v>
      </c>
      <c r="F627" s="475" t="s">
        <v>699</v>
      </c>
      <c r="G627" s="486" t="s">
        <v>706</v>
      </c>
    </row>
    <row r="628" spans="1:7">
      <c r="A628" s="471" t="s">
        <v>699</v>
      </c>
      <c r="B628" s="472" t="s">
        <v>2625</v>
      </c>
      <c r="C628" s="471" t="s">
        <v>2626</v>
      </c>
      <c r="D628" s="473" t="s">
        <v>1027</v>
      </c>
      <c r="E628" s="468" t="s">
        <v>2627</v>
      </c>
      <c r="F628" s="475" t="s">
        <v>699</v>
      </c>
      <c r="G628" s="486" t="s">
        <v>2367</v>
      </c>
    </row>
    <row r="629" spans="1:7">
      <c r="A629" s="471" t="s">
        <v>699</v>
      </c>
      <c r="B629" s="472" t="s">
        <v>921</v>
      </c>
      <c r="C629" s="471" t="s">
        <v>922</v>
      </c>
      <c r="D629" s="473" t="s">
        <v>1027</v>
      </c>
      <c r="E629" s="468" t="s">
        <v>2628</v>
      </c>
      <c r="F629" s="475" t="s">
        <v>699</v>
      </c>
      <c r="G629" s="486" t="s">
        <v>706</v>
      </c>
    </row>
    <row r="630" spans="1:7">
      <c r="A630" s="471" t="s">
        <v>699</v>
      </c>
      <c r="B630" s="472" t="s">
        <v>2629</v>
      </c>
      <c r="C630" s="471" t="s">
        <v>2630</v>
      </c>
      <c r="D630" s="473" t="s">
        <v>1027</v>
      </c>
      <c r="E630" s="468" t="s">
        <v>2631</v>
      </c>
      <c r="F630" s="479" t="s">
        <v>1029</v>
      </c>
      <c r="G630" s="486"/>
    </row>
    <row r="631" spans="1:7">
      <c r="A631" s="471" t="s">
        <v>699</v>
      </c>
      <c r="B631" s="472" t="s">
        <v>2632</v>
      </c>
      <c r="C631" s="471" t="s">
        <v>2633</v>
      </c>
      <c r="D631" s="473" t="s">
        <v>1027</v>
      </c>
      <c r="E631" s="468" t="s">
        <v>2634</v>
      </c>
      <c r="F631" s="479" t="s">
        <v>1029</v>
      </c>
      <c r="G631" s="486"/>
    </row>
    <row r="632" spans="1:7">
      <c r="A632" s="471" t="s">
        <v>699</v>
      </c>
      <c r="B632" s="472" t="s">
        <v>923</v>
      </c>
      <c r="C632" s="471" t="s">
        <v>924</v>
      </c>
      <c r="D632" s="473" t="s">
        <v>1027</v>
      </c>
      <c r="E632" s="468" t="s">
        <v>2635</v>
      </c>
      <c r="F632" s="475" t="s">
        <v>699</v>
      </c>
      <c r="G632" s="486" t="s">
        <v>706</v>
      </c>
    </row>
    <row r="633" spans="1:7">
      <c r="A633" s="471" t="s">
        <v>699</v>
      </c>
      <c r="B633" s="472" t="s">
        <v>1749</v>
      </c>
      <c r="C633" s="471" t="s">
        <v>1750</v>
      </c>
      <c r="D633" s="491"/>
      <c r="E633" s="468" t="s">
        <v>2636</v>
      </c>
      <c r="F633" s="486" t="s">
        <v>1029</v>
      </c>
      <c r="G633" s="486"/>
    </row>
    <row r="634" spans="1:7">
      <c r="A634" s="471" t="s">
        <v>699</v>
      </c>
      <c r="B634" s="472" t="s">
        <v>2637</v>
      </c>
      <c r="C634" s="471" t="s">
        <v>2638</v>
      </c>
      <c r="D634" s="491"/>
      <c r="E634" s="468" t="s">
        <v>2639</v>
      </c>
      <c r="F634" s="486" t="s">
        <v>1029</v>
      </c>
      <c r="G634" s="486"/>
    </row>
    <row r="635" spans="1:7">
      <c r="A635" s="471" t="s">
        <v>699</v>
      </c>
      <c r="B635" s="472" t="s">
        <v>2640</v>
      </c>
      <c r="C635" s="471" t="s">
        <v>2641</v>
      </c>
      <c r="D635" s="473" t="s">
        <v>1027</v>
      </c>
      <c r="E635" s="468" t="s">
        <v>2642</v>
      </c>
      <c r="F635" s="475" t="s">
        <v>2190</v>
      </c>
      <c r="G635" s="486" t="s">
        <v>2191</v>
      </c>
    </row>
    <row r="636" spans="1:7">
      <c r="A636" s="471" t="s">
        <v>699</v>
      </c>
      <c r="B636" s="472" t="s">
        <v>2643</v>
      </c>
      <c r="C636" s="471" t="s">
        <v>2644</v>
      </c>
      <c r="D636" s="491"/>
      <c r="E636" s="468" t="s">
        <v>2645</v>
      </c>
      <c r="F636" s="479" t="s">
        <v>1029</v>
      </c>
      <c r="G636" s="486"/>
    </row>
    <row r="637" spans="1:7">
      <c r="A637" s="471" t="s">
        <v>699</v>
      </c>
      <c r="B637" s="472" t="s">
        <v>2646</v>
      </c>
      <c r="C637" s="471" t="s">
        <v>2647</v>
      </c>
      <c r="D637" s="473" t="s">
        <v>1027</v>
      </c>
      <c r="E637" s="468" t="s">
        <v>2648</v>
      </c>
      <c r="F637" s="475" t="s">
        <v>2190</v>
      </c>
      <c r="G637" s="486" t="s">
        <v>2191</v>
      </c>
    </row>
    <row r="638" spans="1:7">
      <c r="A638" s="471" t="s">
        <v>699</v>
      </c>
      <c r="B638" s="472" t="s">
        <v>1061</v>
      </c>
      <c r="C638" s="471" t="s">
        <v>1062</v>
      </c>
      <c r="D638" s="473" t="s">
        <v>1027</v>
      </c>
      <c r="E638" s="468" t="s">
        <v>2649</v>
      </c>
      <c r="F638" s="475" t="s">
        <v>1029</v>
      </c>
      <c r="G638" s="486"/>
    </row>
    <row r="639" spans="1:7">
      <c r="A639" s="492" t="s">
        <v>1062</v>
      </c>
      <c r="B639" s="493"/>
      <c r="C639" s="467" t="s">
        <v>1022</v>
      </c>
      <c r="D639" s="463"/>
      <c r="E639" s="468" t="s">
        <v>2650</v>
      </c>
      <c r="F639" s="469"/>
      <c r="G639" s="486"/>
    </row>
    <row r="640" spans="1:7">
      <c r="A640" s="471" t="s">
        <v>1062</v>
      </c>
      <c r="B640" s="472" t="s">
        <v>1030</v>
      </c>
      <c r="C640" s="471" t="s">
        <v>1031</v>
      </c>
      <c r="D640" s="491"/>
      <c r="E640" s="468" t="s">
        <v>2651</v>
      </c>
      <c r="F640" s="476" t="s">
        <v>1029</v>
      </c>
      <c r="G640" s="486"/>
    </row>
    <row r="641" spans="1:7">
      <c r="A641" s="471" t="s">
        <v>1062</v>
      </c>
      <c r="B641" s="472" t="s">
        <v>1061</v>
      </c>
      <c r="C641" s="471" t="s">
        <v>1062</v>
      </c>
      <c r="D641" s="491"/>
      <c r="E641" s="468" t="s">
        <v>2652</v>
      </c>
      <c r="F641" s="476" t="s">
        <v>1029</v>
      </c>
      <c r="G641" s="486"/>
    </row>
    <row r="642" spans="1:7">
      <c r="A642" s="471" t="s">
        <v>2653</v>
      </c>
      <c r="B642" s="472" t="s">
        <v>2654</v>
      </c>
      <c r="C642" s="471" t="s">
        <v>2655</v>
      </c>
      <c r="D642" s="491"/>
      <c r="E642" s="468" t="s">
        <v>2656</v>
      </c>
      <c r="F642" s="476" t="s">
        <v>1029</v>
      </c>
      <c r="G642" s="486"/>
    </row>
    <row r="643" spans="1:7">
      <c r="A643" s="471" t="s">
        <v>2653</v>
      </c>
      <c r="B643" s="472" t="s">
        <v>2441</v>
      </c>
      <c r="C643" s="471" t="s">
        <v>2442</v>
      </c>
      <c r="D643" s="491"/>
      <c r="E643" s="468" t="s">
        <v>2657</v>
      </c>
      <c r="F643" s="476" t="s">
        <v>1029</v>
      </c>
      <c r="G643" s="486"/>
    </row>
    <row r="644" spans="1:7">
      <c r="A644" s="471" t="s">
        <v>2653</v>
      </c>
      <c r="B644" s="472" t="s">
        <v>2658</v>
      </c>
      <c r="C644" s="471" t="s">
        <v>2659</v>
      </c>
      <c r="D644" s="491"/>
      <c r="E644" s="468" t="s">
        <v>2660</v>
      </c>
      <c r="F644" s="476" t="s">
        <v>1029</v>
      </c>
      <c r="G644" s="486"/>
    </row>
    <row r="645" spans="1:7">
      <c r="A645" s="471" t="s">
        <v>2653</v>
      </c>
      <c r="B645" s="472" t="s">
        <v>2661</v>
      </c>
      <c r="C645" s="471" t="s">
        <v>2662</v>
      </c>
      <c r="D645" s="491"/>
      <c r="E645" s="468" t="s">
        <v>2663</v>
      </c>
      <c r="F645" s="476" t="s">
        <v>1029</v>
      </c>
      <c r="G645" s="486"/>
    </row>
    <row r="646" spans="1:7">
      <c r="A646" s="471" t="s">
        <v>2653</v>
      </c>
      <c r="B646" s="472" t="s">
        <v>2664</v>
      </c>
      <c r="C646" s="471" t="s">
        <v>2665</v>
      </c>
      <c r="D646" s="491"/>
      <c r="E646" s="468" t="s">
        <v>2666</v>
      </c>
      <c r="F646" s="476" t="s">
        <v>1029</v>
      </c>
      <c r="G646" s="486"/>
    </row>
    <row r="647" spans="1:7">
      <c r="A647" s="461" t="s">
        <v>2653</v>
      </c>
      <c r="B647" s="462"/>
      <c r="C647" s="462" t="s">
        <v>1022</v>
      </c>
      <c r="D647" s="463"/>
      <c r="E647" s="468" t="s">
        <v>2667</v>
      </c>
      <c r="F647" s="469"/>
      <c r="G647" s="486"/>
    </row>
    <row r="648" spans="1:7">
      <c r="A648" s="471" t="s">
        <v>2653</v>
      </c>
      <c r="B648" s="472" t="s">
        <v>1025</v>
      </c>
      <c r="C648" s="471" t="s">
        <v>1026</v>
      </c>
      <c r="D648" s="491"/>
      <c r="E648" s="468" t="s">
        <v>2668</v>
      </c>
      <c r="F648" s="474" t="s">
        <v>1029</v>
      </c>
      <c r="G648" s="486"/>
    </row>
    <row r="649" spans="1:7">
      <c r="A649" s="471" t="s">
        <v>2653</v>
      </c>
      <c r="B649" s="472" t="s">
        <v>1030</v>
      </c>
      <c r="C649" s="471" t="s">
        <v>1031</v>
      </c>
      <c r="D649" s="473" t="s">
        <v>1027</v>
      </c>
      <c r="E649" s="468" t="s">
        <v>2669</v>
      </c>
      <c r="F649" s="476" t="s">
        <v>1819</v>
      </c>
      <c r="G649" s="486" t="s">
        <v>2670</v>
      </c>
    </row>
    <row r="650" spans="1:7">
      <c r="A650" s="471" t="s">
        <v>2653</v>
      </c>
      <c r="B650" s="472" t="s">
        <v>2671</v>
      </c>
      <c r="C650" s="471" t="s">
        <v>2672</v>
      </c>
      <c r="D650" s="491"/>
      <c r="E650" s="468" t="s">
        <v>2673</v>
      </c>
      <c r="F650" s="486" t="s">
        <v>1029</v>
      </c>
      <c r="G650" s="486"/>
    </row>
    <row r="651" spans="1:7">
      <c r="A651" s="471" t="s">
        <v>2653</v>
      </c>
      <c r="B651" s="472" t="s">
        <v>2674</v>
      </c>
      <c r="C651" s="471" t="s">
        <v>2675</v>
      </c>
      <c r="D651" s="491"/>
      <c r="E651" s="468" t="s">
        <v>2676</v>
      </c>
      <c r="F651" s="486" t="s">
        <v>439</v>
      </c>
      <c r="G651" s="486" t="s">
        <v>2677</v>
      </c>
    </row>
    <row r="652" spans="1:7">
      <c r="A652" s="471" t="s">
        <v>2653</v>
      </c>
      <c r="B652" s="472" t="s">
        <v>2678</v>
      </c>
      <c r="C652" s="471" t="s">
        <v>2679</v>
      </c>
      <c r="D652" s="473" t="s">
        <v>1027</v>
      </c>
      <c r="E652" s="468" t="s">
        <v>2680</v>
      </c>
      <c r="F652" s="475" t="s">
        <v>463</v>
      </c>
      <c r="G652" s="486"/>
    </row>
    <row r="653" spans="1:7">
      <c r="A653" s="471" t="s">
        <v>2653</v>
      </c>
      <c r="B653" s="472" t="s">
        <v>2681</v>
      </c>
      <c r="C653" s="471" t="s">
        <v>2682</v>
      </c>
      <c r="D653" s="473" t="s">
        <v>1027</v>
      </c>
      <c r="E653" s="468" t="s">
        <v>2683</v>
      </c>
      <c r="F653" s="494" t="s">
        <v>783</v>
      </c>
      <c r="G653" s="486" t="s">
        <v>2670</v>
      </c>
    </row>
    <row r="654" spans="1:7">
      <c r="A654" s="471" t="s">
        <v>2653</v>
      </c>
      <c r="B654" s="472" t="s">
        <v>2684</v>
      </c>
      <c r="C654" s="471" t="s">
        <v>2685</v>
      </c>
      <c r="D654" s="473" t="s">
        <v>1027</v>
      </c>
      <c r="E654" s="468" t="s">
        <v>2686</v>
      </c>
      <c r="F654" s="494" t="s">
        <v>770</v>
      </c>
      <c r="G654" s="486" t="s">
        <v>2670</v>
      </c>
    </row>
    <row r="655" spans="1:7">
      <c r="A655" s="471" t="s">
        <v>2653</v>
      </c>
      <c r="B655" s="472" t="s">
        <v>2687</v>
      </c>
      <c r="C655" s="471" t="s">
        <v>2688</v>
      </c>
      <c r="D655" s="491"/>
      <c r="E655" s="468" t="s">
        <v>2689</v>
      </c>
      <c r="F655" s="479" t="s">
        <v>1029</v>
      </c>
      <c r="G655" s="486"/>
    </row>
    <row r="656" spans="1:7">
      <c r="A656" s="471" t="s">
        <v>2653</v>
      </c>
      <c r="B656" s="472" t="s">
        <v>2690</v>
      </c>
      <c r="C656" s="471" t="s">
        <v>2691</v>
      </c>
      <c r="D656" s="473" t="s">
        <v>1027</v>
      </c>
      <c r="E656" s="468" t="s">
        <v>2692</v>
      </c>
      <c r="F656" s="494" t="s">
        <v>770</v>
      </c>
      <c r="G656" s="486" t="s">
        <v>2670</v>
      </c>
    </row>
    <row r="657" spans="1:7">
      <c r="A657" s="471" t="s">
        <v>2653</v>
      </c>
      <c r="B657" s="472" t="s">
        <v>2693</v>
      </c>
      <c r="C657" s="471" t="s">
        <v>2694</v>
      </c>
      <c r="D657" s="473" t="s">
        <v>1027</v>
      </c>
      <c r="E657" s="468" t="s">
        <v>2695</v>
      </c>
      <c r="F657" s="494" t="s">
        <v>1819</v>
      </c>
      <c r="G657" s="486" t="s">
        <v>1837</v>
      </c>
    </row>
    <row r="658" spans="1:7">
      <c r="A658" s="471" t="s">
        <v>2653</v>
      </c>
      <c r="B658" s="472" t="s">
        <v>2696</v>
      </c>
      <c r="C658" s="471" t="s">
        <v>2697</v>
      </c>
      <c r="D658" s="473" t="s">
        <v>1027</v>
      </c>
      <c r="E658" s="468" t="s">
        <v>2698</v>
      </c>
      <c r="F658" s="494" t="s">
        <v>1819</v>
      </c>
      <c r="G658" s="486" t="s">
        <v>2466</v>
      </c>
    </row>
    <row r="659" spans="1:7">
      <c r="A659" s="471" t="s">
        <v>2653</v>
      </c>
      <c r="B659" s="472" t="s">
        <v>2699</v>
      </c>
      <c r="C659" s="471" t="s">
        <v>2700</v>
      </c>
      <c r="D659" s="473" t="s">
        <v>1027</v>
      </c>
      <c r="E659" s="468" t="s">
        <v>2701</v>
      </c>
      <c r="F659" s="494" t="s">
        <v>1819</v>
      </c>
      <c r="G659" s="486" t="s">
        <v>2466</v>
      </c>
    </row>
    <row r="660" spans="1:7">
      <c r="A660" s="471" t="s">
        <v>2653</v>
      </c>
      <c r="B660" s="472" t="s">
        <v>2702</v>
      </c>
      <c r="C660" s="471" t="s">
        <v>2703</v>
      </c>
      <c r="D660" s="473" t="s">
        <v>1027</v>
      </c>
      <c r="E660" s="468" t="s">
        <v>2704</v>
      </c>
      <c r="F660" s="479" t="s">
        <v>1029</v>
      </c>
      <c r="G660" s="486"/>
    </row>
    <row r="661" spans="1:7">
      <c r="A661" s="471" t="s">
        <v>2653</v>
      </c>
      <c r="B661" s="472" t="s">
        <v>1816</v>
      </c>
      <c r="C661" s="471" t="s">
        <v>1817</v>
      </c>
      <c r="D661" s="473" t="s">
        <v>1027</v>
      </c>
      <c r="E661" s="468" t="s">
        <v>2705</v>
      </c>
      <c r="F661" s="476" t="s">
        <v>1819</v>
      </c>
      <c r="G661" s="486" t="s">
        <v>1837</v>
      </c>
    </row>
    <row r="662" spans="1:7">
      <c r="A662" s="471" t="s">
        <v>2653</v>
      </c>
      <c r="B662" s="472" t="s">
        <v>2116</v>
      </c>
      <c r="C662" s="471" t="s">
        <v>2117</v>
      </c>
      <c r="D662" s="473" t="s">
        <v>1027</v>
      </c>
      <c r="E662" s="468" t="s">
        <v>2706</v>
      </c>
      <c r="F662" s="475" t="s">
        <v>1823</v>
      </c>
      <c r="G662" s="486" t="s">
        <v>688</v>
      </c>
    </row>
    <row r="663" spans="1:7">
      <c r="A663" s="471" t="s">
        <v>2653</v>
      </c>
      <c r="B663" s="472" t="s">
        <v>2707</v>
      </c>
      <c r="C663" s="471" t="s">
        <v>2708</v>
      </c>
      <c r="D663" s="491"/>
      <c r="E663" s="468" t="s">
        <v>2709</v>
      </c>
      <c r="F663" s="479" t="s">
        <v>1029</v>
      </c>
      <c r="G663" s="486"/>
    </row>
    <row r="664" spans="1:7">
      <c r="A664" s="471" t="s">
        <v>2653</v>
      </c>
      <c r="B664" s="472" t="s">
        <v>1820</v>
      </c>
      <c r="C664" s="471" t="s">
        <v>1821</v>
      </c>
      <c r="D664" s="473" t="s">
        <v>1027</v>
      </c>
      <c r="E664" s="468" t="s">
        <v>2710</v>
      </c>
      <c r="F664" s="475" t="s">
        <v>1823</v>
      </c>
      <c r="G664" s="486" t="s">
        <v>688</v>
      </c>
    </row>
    <row r="665" spans="1:7">
      <c r="A665" s="471" t="s">
        <v>2653</v>
      </c>
      <c r="B665" s="472" t="s">
        <v>2711</v>
      </c>
      <c r="C665" s="471" t="s">
        <v>2712</v>
      </c>
      <c r="D665" s="491"/>
      <c r="E665" s="468" t="s">
        <v>2713</v>
      </c>
      <c r="F665" s="475" t="s">
        <v>463</v>
      </c>
      <c r="G665" s="486"/>
    </row>
    <row r="666" spans="1:7">
      <c r="A666" s="471" t="s">
        <v>2653</v>
      </c>
      <c r="B666" s="482" t="s">
        <v>1824</v>
      </c>
      <c r="C666" s="483" t="s">
        <v>1825</v>
      </c>
      <c r="D666" s="491"/>
      <c r="E666" s="468" t="s">
        <v>2714</v>
      </c>
      <c r="F666" s="475" t="s">
        <v>463</v>
      </c>
      <c r="G666" s="486"/>
    </row>
    <row r="667" spans="1:7">
      <c r="A667" s="471" t="s">
        <v>2653</v>
      </c>
      <c r="B667" s="472" t="s">
        <v>2715</v>
      </c>
      <c r="C667" s="471" t="s">
        <v>2716</v>
      </c>
      <c r="D667" s="473" t="s">
        <v>1027</v>
      </c>
      <c r="E667" s="468" t="s">
        <v>2717</v>
      </c>
      <c r="F667" s="486" t="s">
        <v>1819</v>
      </c>
      <c r="G667" s="486" t="s">
        <v>2466</v>
      </c>
    </row>
    <row r="668" spans="1:7">
      <c r="A668" s="471" t="s">
        <v>2653</v>
      </c>
      <c r="B668" s="472" t="s">
        <v>2718</v>
      </c>
      <c r="C668" s="471" t="s">
        <v>2719</v>
      </c>
      <c r="D668" s="491"/>
      <c r="E668" s="468" t="s">
        <v>2720</v>
      </c>
      <c r="F668" s="475" t="s">
        <v>1823</v>
      </c>
      <c r="G668" s="486" t="s">
        <v>688</v>
      </c>
    </row>
    <row r="669" spans="1:7">
      <c r="A669" s="471" t="s">
        <v>2653</v>
      </c>
      <c r="B669" s="472" t="s">
        <v>2721</v>
      </c>
      <c r="C669" s="471" t="s">
        <v>2722</v>
      </c>
      <c r="D669" s="491"/>
      <c r="E669" s="468" t="s">
        <v>2723</v>
      </c>
      <c r="F669" s="486" t="s">
        <v>497</v>
      </c>
      <c r="G669" s="486" t="s">
        <v>2724</v>
      </c>
    </row>
    <row r="670" spans="1:7">
      <c r="A670" s="471" t="s">
        <v>2653</v>
      </c>
      <c r="B670" s="472" t="s">
        <v>2725</v>
      </c>
      <c r="C670" s="471" t="s">
        <v>2726</v>
      </c>
      <c r="D670" s="473" t="s">
        <v>1027</v>
      </c>
      <c r="E670" s="468" t="s">
        <v>2727</v>
      </c>
      <c r="F670" s="486" t="s">
        <v>1819</v>
      </c>
      <c r="G670" s="486" t="s">
        <v>2466</v>
      </c>
    </row>
    <row r="671" spans="1:7">
      <c r="A671" s="471" t="s">
        <v>2653</v>
      </c>
      <c r="B671" s="472" t="s">
        <v>2728</v>
      </c>
      <c r="C671" s="471" t="s">
        <v>2729</v>
      </c>
      <c r="D671" s="473" t="s">
        <v>1027</v>
      </c>
      <c r="E671" s="468" t="s">
        <v>2730</v>
      </c>
      <c r="F671" s="479" t="s">
        <v>1029</v>
      </c>
      <c r="G671" s="486"/>
    </row>
    <row r="672" spans="1:7">
      <c r="A672" s="471" t="s">
        <v>2653</v>
      </c>
      <c r="B672" s="472" t="s">
        <v>2731</v>
      </c>
      <c r="C672" s="471" t="s">
        <v>2732</v>
      </c>
      <c r="D672" s="473" t="s">
        <v>1027</v>
      </c>
      <c r="E672" s="468" t="s">
        <v>2733</v>
      </c>
      <c r="F672" s="486" t="s">
        <v>1029</v>
      </c>
      <c r="G672" s="486"/>
    </row>
    <row r="673" spans="1:7">
      <c r="A673" s="471" t="s">
        <v>2653</v>
      </c>
      <c r="B673" s="472" t="s">
        <v>2734</v>
      </c>
      <c r="C673" s="471" t="s">
        <v>2735</v>
      </c>
      <c r="D673" s="473" t="s">
        <v>1027</v>
      </c>
      <c r="E673" s="468" t="s">
        <v>2736</v>
      </c>
      <c r="F673" s="486" t="s">
        <v>1819</v>
      </c>
      <c r="G673" s="486" t="s">
        <v>1837</v>
      </c>
    </row>
    <row r="674" spans="1:7">
      <c r="A674" s="471" t="s">
        <v>2653</v>
      </c>
      <c r="B674" s="472" t="s">
        <v>2737</v>
      </c>
      <c r="C674" s="471" t="s">
        <v>2738</v>
      </c>
      <c r="D674" s="473" t="s">
        <v>1027</v>
      </c>
      <c r="E674" s="468" t="s">
        <v>2739</v>
      </c>
      <c r="F674" s="486" t="s">
        <v>1819</v>
      </c>
      <c r="G674" s="486" t="s">
        <v>1837</v>
      </c>
    </row>
    <row r="675" spans="1:7">
      <c r="A675" s="471" t="s">
        <v>2653</v>
      </c>
      <c r="B675" s="472" t="s">
        <v>2740</v>
      </c>
      <c r="C675" s="471" t="s">
        <v>2741</v>
      </c>
      <c r="D675" s="473" t="s">
        <v>1027</v>
      </c>
      <c r="E675" s="468" t="s">
        <v>2742</v>
      </c>
      <c r="F675" s="486" t="s">
        <v>1819</v>
      </c>
      <c r="G675" s="486" t="s">
        <v>1837</v>
      </c>
    </row>
    <row r="676" spans="1:7">
      <c r="A676" s="471" t="s">
        <v>2653</v>
      </c>
      <c r="B676" s="472" t="s">
        <v>2743</v>
      </c>
      <c r="C676" s="471" t="s">
        <v>2744</v>
      </c>
      <c r="D676" s="473" t="s">
        <v>1027</v>
      </c>
      <c r="E676" s="468" t="s">
        <v>2745</v>
      </c>
      <c r="F676" s="479" t="s">
        <v>1029</v>
      </c>
      <c r="G676" s="486"/>
    </row>
    <row r="677" spans="1:7">
      <c r="A677" s="471" t="s">
        <v>2653</v>
      </c>
      <c r="B677" s="472" t="s">
        <v>1830</v>
      </c>
      <c r="C677" s="471" t="s">
        <v>1831</v>
      </c>
      <c r="D677" s="473" t="s">
        <v>1027</v>
      </c>
      <c r="E677" s="468" t="s">
        <v>2746</v>
      </c>
      <c r="F677" s="486" t="s">
        <v>1819</v>
      </c>
      <c r="G677" s="486" t="s">
        <v>1837</v>
      </c>
    </row>
    <row r="678" spans="1:7">
      <c r="A678" s="471" t="s">
        <v>2653</v>
      </c>
      <c r="B678" s="472" t="s">
        <v>1061</v>
      </c>
      <c r="C678" s="471" t="s">
        <v>1062</v>
      </c>
      <c r="D678" s="473" t="s">
        <v>1027</v>
      </c>
      <c r="E678" s="468" t="s">
        <v>2747</v>
      </c>
      <c r="F678" s="486" t="s">
        <v>1029</v>
      </c>
      <c r="G678" s="486"/>
    </row>
    <row r="679" spans="1:7">
      <c r="A679" s="471" t="s">
        <v>2653</v>
      </c>
      <c r="B679" s="472" t="s">
        <v>1207</v>
      </c>
      <c r="C679" s="471" t="s">
        <v>2748</v>
      </c>
      <c r="D679" s="491"/>
      <c r="E679" s="468" t="s">
        <v>2749</v>
      </c>
      <c r="F679" s="486" t="s">
        <v>1029</v>
      </c>
      <c r="G679" s="486"/>
    </row>
    <row r="680" spans="1:7">
      <c r="A680" s="471" t="s">
        <v>2653</v>
      </c>
      <c r="B680" s="472" t="s">
        <v>2750</v>
      </c>
      <c r="C680" s="471" t="s">
        <v>2751</v>
      </c>
      <c r="D680" s="473" t="s">
        <v>1027</v>
      </c>
      <c r="E680" s="468" t="s">
        <v>2752</v>
      </c>
      <c r="F680" s="486" t="s">
        <v>756</v>
      </c>
      <c r="G680" s="486" t="s">
        <v>2753</v>
      </c>
    </row>
    <row r="681" spans="1:7">
      <c r="A681" s="471" t="s">
        <v>2653</v>
      </c>
      <c r="B681" s="472" t="s">
        <v>2123</v>
      </c>
      <c r="C681" s="471" t="s">
        <v>2124</v>
      </c>
      <c r="D681" s="473" t="s">
        <v>1027</v>
      </c>
      <c r="E681" s="468" t="s">
        <v>2754</v>
      </c>
      <c r="F681" s="475" t="s">
        <v>1823</v>
      </c>
      <c r="G681" s="486" t="s">
        <v>693</v>
      </c>
    </row>
    <row r="682" spans="1:7">
      <c r="A682" s="471" t="s">
        <v>2653</v>
      </c>
      <c r="B682" s="472" t="s">
        <v>2755</v>
      </c>
      <c r="C682" s="471" t="s">
        <v>2756</v>
      </c>
      <c r="D682" s="473" t="s">
        <v>1027</v>
      </c>
      <c r="E682" s="468" t="s">
        <v>2757</v>
      </c>
      <c r="F682" s="486" t="s">
        <v>1819</v>
      </c>
      <c r="G682" s="486" t="s">
        <v>2758</v>
      </c>
    </row>
    <row r="683" spans="1:7">
      <c r="A683" s="471" t="s">
        <v>2653</v>
      </c>
      <c r="B683" s="472" t="s">
        <v>2759</v>
      </c>
      <c r="C683" s="471" t="s">
        <v>2760</v>
      </c>
      <c r="D683" s="473" t="s">
        <v>1027</v>
      </c>
      <c r="E683" s="468" t="s">
        <v>2761</v>
      </c>
      <c r="F683" s="475" t="s">
        <v>2762</v>
      </c>
      <c r="G683" s="486" t="s">
        <v>2763</v>
      </c>
    </row>
    <row r="684" spans="1:7">
      <c r="A684" s="471" t="s">
        <v>2653</v>
      </c>
      <c r="B684" s="472" t="s">
        <v>2764</v>
      </c>
      <c r="C684" s="471" t="s">
        <v>2765</v>
      </c>
      <c r="D684" s="491"/>
      <c r="E684" s="468" t="s">
        <v>2766</v>
      </c>
      <c r="F684" s="486" t="s">
        <v>1029</v>
      </c>
      <c r="G684" s="486"/>
    </row>
    <row r="685" spans="1:7">
      <c r="A685" s="471" t="s">
        <v>2653</v>
      </c>
      <c r="B685" s="472" t="s">
        <v>2767</v>
      </c>
      <c r="C685" s="471" t="s">
        <v>2768</v>
      </c>
      <c r="D685" s="491"/>
      <c r="E685" s="468" t="s">
        <v>2769</v>
      </c>
      <c r="F685" s="479" t="s">
        <v>1029</v>
      </c>
      <c r="G685" s="486"/>
    </row>
    <row r="686" spans="1:7">
      <c r="A686" s="471" t="s">
        <v>2653</v>
      </c>
      <c r="B686" s="472" t="s">
        <v>2770</v>
      </c>
      <c r="C686" s="471" t="s">
        <v>2771</v>
      </c>
      <c r="D686" s="491"/>
      <c r="E686" s="468" t="s">
        <v>2772</v>
      </c>
      <c r="F686" s="474" t="s">
        <v>463</v>
      </c>
      <c r="G686" s="486"/>
    </row>
    <row r="687" spans="1:7">
      <c r="A687" s="471" t="s">
        <v>2653</v>
      </c>
      <c r="B687" s="472" t="s">
        <v>2773</v>
      </c>
      <c r="C687" s="471" t="s">
        <v>2774</v>
      </c>
      <c r="D687" s="473" t="s">
        <v>1027</v>
      </c>
      <c r="E687" s="468" t="s">
        <v>2775</v>
      </c>
      <c r="F687" s="475" t="s">
        <v>756</v>
      </c>
      <c r="G687" s="486" t="s">
        <v>2776</v>
      </c>
    </row>
    <row r="688" spans="1:7">
      <c r="A688" s="471" t="s">
        <v>2653</v>
      </c>
      <c r="B688" s="472" t="s">
        <v>2777</v>
      </c>
      <c r="C688" s="471" t="s">
        <v>2778</v>
      </c>
      <c r="D688" s="473" t="s">
        <v>1027</v>
      </c>
      <c r="E688" s="468" t="s">
        <v>2779</v>
      </c>
      <c r="F688" s="486" t="s">
        <v>1819</v>
      </c>
      <c r="G688" s="486" t="s">
        <v>1837</v>
      </c>
    </row>
    <row r="689" spans="1:7">
      <c r="A689" s="471" t="s">
        <v>2653</v>
      </c>
      <c r="B689" s="472" t="s">
        <v>2780</v>
      </c>
      <c r="C689" s="471" t="s">
        <v>2781</v>
      </c>
      <c r="D689" s="473" t="s">
        <v>1027</v>
      </c>
      <c r="E689" s="468" t="s">
        <v>2782</v>
      </c>
      <c r="F689" s="486" t="s">
        <v>1819</v>
      </c>
      <c r="G689" s="486" t="s">
        <v>1837</v>
      </c>
    </row>
    <row r="690" spans="1:7">
      <c r="A690" s="471" t="s">
        <v>2653</v>
      </c>
      <c r="B690" s="472" t="s">
        <v>2783</v>
      </c>
      <c r="C690" s="471" t="s">
        <v>2784</v>
      </c>
      <c r="D690" s="473" t="s">
        <v>1027</v>
      </c>
      <c r="E690" s="468" t="s">
        <v>2785</v>
      </c>
      <c r="F690" s="479" t="s">
        <v>497</v>
      </c>
      <c r="G690" s="486" t="s">
        <v>2786</v>
      </c>
    </row>
    <row r="691" spans="1:7">
      <c r="A691" s="471" t="s">
        <v>2653</v>
      </c>
      <c r="B691" s="472" t="s">
        <v>2787</v>
      </c>
      <c r="C691" s="471" t="s">
        <v>2788</v>
      </c>
      <c r="D691" s="473" t="s">
        <v>1027</v>
      </c>
      <c r="E691" s="468" t="s">
        <v>2789</v>
      </c>
      <c r="F691" s="486" t="s">
        <v>1819</v>
      </c>
      <c r="G691" s="486" t="s">
        <v>1837</v>
      </c>
    </row>
    <row r="692" spans="1:7">
      <c r="A692" s="471" t="s">
        <v>2653</v>
      </c>
      <c r="B692" s="472" t="s">
        <v>2790</v>
      </c>
      <c r="C692" s="471" t="s">
        <v>2791</v>
      </c>
      <c r="D692" s="473" t="s">
        <v>1027</v>
      </c>
      <c r="E692" s="468" t="s">
        <v>2792</v>
      </c>
      <c r="F692" s="486" t="s">
        <v>1819</v>
      </c>
      <c r="G692" s="486" t="s">
        <v>1837</v>
      </c>
    </row>
    <row r="693" spans="1:7">
      <c r="A693" s="471" t="s">
        <v>2653</v>
      </c>
      <c r="B693" s="472" t="s">
        <v>2793</v>
      </c>
      <c r="C693" s="471" t="s">
        <v>2794</v>
      </c>
      <c r="D693" s="473" t="s">
        <v>1027</v>
      </c>
      <c r="E693" s="468" t="s">
        <v>2795</v>
      </c>
      <c r="F693" s="486" t="s">
        <v>1819</v>
      </c>
      <c r="G693" s="486" t="s">
        <v>1837</v>
      </c>
    </row>
    <row r="694" spans="1:7">
      <c r="A694" s="471" t="s">
        <v>2653</v>
      </c>
      <c r="B694" s="472" t="s">
        <v>2138</v>
      </c>
      <c r="C694" s="471" t="s">
        <v>2139</v>
      </c>
      <c r="D694" s="473" t="s">
        <v>1027</v>
      </c>
      <c r="E694" s="468" t="s">
        <v>2796</v>
      </c>
      <c r="F694" s="486" t="s">
        <v>1819</v>
      </c>
      <c r="G694" s="486" t="s">
        <v>1837</v>
      </c>
    </row>
    <row r="695" spans="1:7">
      <c r="A695" s="471" t="s">
        <v>2653</v>
      </c>
      <c r="B695" s="472" t="s">
        <v>2797</v>
      </c>
      <c r="C695" s="471" t="s">
        <v>2798</v>
      </c>
      <c r="D695" s="473" t="s">
        <v>1027</v>
      </c>
      <c r="E695" s="468" t="s">
        <v>2799</v>
      </c>
      <c r="F695" s="486" t="s">
        <v>1819</v>
      </c>
      <c r="G695" s="486" t="s">
        <v>1837</v>
      </c>
    </row>
    <row r="696" spans="1:7">
      <c r="A696" s="471" t="s">
        <v>2653</v>
      </c>
      <c r="B696" s="472" t="s">
        <v>2800</v>
      </c>
      <c r="C696" s="471" t="s">
        <v>2801</v>
      </c>
      <c r="D696" s="473" t="s">
        <v>1027</v>
      </c>
      <c r="E696" s="468" t="s">
        <v>2802</v>
      </c>
      <c r="F696" s="486" t="s">
        <v>783</v>
      </c>
      <c r="G696" s="486" t="s">
        <v>1837</v>
      </c>
    </row>
    <row r="697" spans="1:7">
      <c r="A697" s="471" t="s">
        <v>2653</v>
      </c>
      <c r="B697" s="472" t="s">
        <v>2803</v>
      </c>
      <c r="C697" s="471" t="s">
        <v>2804</v>
      </c>
      <c r="D697" s="473" t="s">
        <v>1027</v>
      </c>
      <c r="E697" s="468" t="s">
        <v>2805</v>
      </c>
      <c r="F697" s="486" t="s">
        <v>783</v>
      </c>
      <c r="G697" s="486" t="s">
        <v>1837</v>
      </c>
    </row>
    <row r="698" spans="1:7">
      <c r="A698" s="471" t="s">
        <v>2653</v>
      </c>
      <c r="B698" s="472" t="s">
        <v>2806</v>
      </c>
      <c r="C698" s="471" t="s">
        <v>2807</v>
      </c>
      <c r="D698" s="491"/>
      <c r="E698" s="468" t="s">
        <v>2808</v>
      </c>
      <c r="F698" s="486" t="s">
        <v>1029</v>
      </c>
      <c r="G698" s="486"/>
    </row>
    <row r="699" spans="1:7">
      <c r="A699" s="471" t="s">
        <v>2653</v>
      </c>
      <c r="B699" s="472" t="s">
        <v>1834</v>
      </c>
      <c r="C699" s="471" t="s">
        <v>1835</v>
      </c>
      <c r="D699" s="473" t="s">
        <v>1027</v>
      </c>
      <c r="E699" s="468" t="s">
        <v>2809</v>
      </c>
      <c r="F699" s="476" t="s">
        <v>783</v>
      </c>
      <c r="G699" s="476" t="s">
        <v>1837</v>
      </c>
    </row>
    <row r="700" spans="1:7">
      <c r="A700" s="471" t="s">
        <v>2653</v>
      </c>
      <c r="B700" s="472" t="s">
        <v>2810</v>
      </c>
      <c r="C700" s="471" t="s">
        <v>2811</v>
      </c>
      <c r="D700" s="473" t="s">
        <v>1027</v>
      </c>
      <c r="E700" s="468" t="s">
        <v>2812</v>
      </c>
      <c r="F700" s="475" t="s">
        <v>535</v>
      </c>
      <c r="G700" s="486" t="s">
        <v>537</v>
      </c>
    </row>
    <row r="701" spans="1:7">
      <c r="A701" s="471" t="s">
        <v>2653</v>
      </c>
      <c r="B701" s="472" t="s">
        <v>1841</v>
      </c>
      <c r="C701" s="471" t="s">
        <v>1842</v>
      </c>
      <c r="D701" s="473" t="s">
        <v>1027</v>
      </c>
      <c r="E701" s="468" t="s">
        <v>2813</v>
      </c>
      <c r="F701" s="475" t="s">
        <v>535</v>
      </c>
      <c r="G701" s="486" t="s">
        <v>537</v>
      </c>
    </row>
    <row r="702" spans="1:7">
      <c r="A702" s="471" t="s">
        <v>2653</v>
      </c>
      <c r="B702" s="472" t="s">
        <v>2814</v>
      </c>
      <c r="C702" s="471" t="s">
        <v>2815</v>
      </c>
      <c r="D702" s="473" t="s">
        <v>1027</v>
      </c>
      <c r="E702" s="468" t="s">
        <v>2816</v>
      </c>
      <c r="F702" s="475" t="s">
        <v>1823</v>
      </c>
      <c r="G702" s="486" t="s">
        <v>685</v>
      </c>
    </row>
    <row r="703" spans="1:7">
      <c r="A703" s="471" t="s">
        <v>2653</v>
      </c>
      <c r="B703" s="472" t="s">
        <v>2201</v>
      </c>
      <c r="C703" s="471" t="s">
        <v>2202</v>
      </c>
      <c r="D703" s="473" t="s">
        <v>1027</v>
      </c>
      <c r="E703" s="468" t="s">
        <v>2817</v>
      </c>
      <c r="F703" s="486" t="s">
        <v>1819</v>
      </c>
      <c r="G703" s="486" t="s">
        <v>1837</v>
      </c>
    </row>
    <row r="704" spans="1:7">
      <c r="A704" s="471" t="s">
        <v>2653</v>
      </c>
      <c r="B704" s="472" t="s">
        <v>2818</v>
      </c>
      <c r="C704" s="471" t="s">
        <v>2819</v>
      </c>
      <c r="D704" s="473" t="s">
        <v>1027</v>
      </c>
      <c r="E704" s="468" t="s">
        <v>2820</v>
      </c>
      <c r="F704" s="475" t="s">
        <v>756</v>
      </c>
      <c r="G704" s="486" t="s">
        <v>2821</v>
      </c>
    </row>
    <row r="705" spans="1:7">
      <c r="A705" s="471" t="s">
        <v>2653</v>
      </c>
      <c r="B705" s="472" t="s">
        <v>2822</v>
      </c>
      <c r="C705" s="471" t="s">
        <v>2823</v>
      </c>
      <c r="D705" s="473" t="s">
        <v>1027</v>
      </c>
      <c r="E705" s="468" t="s">
        <v>2824</v>
      </c>
      <c r="F705" s="475" t="s">
        <v>2762</v>
      </c>
      <c r="G705" s="486" t="s">
        <v>2763</v>
      </c>
    </row>
    <row r="706" spans="1:7">
      <c r="A706" s="471" t="s">
        <v>2653</v>
      </c>
      <c r="B706" s="472" t="s">
        <v>2825</v>
      </c>
      <c r="C706" s="471" t="s">
        <v>2826</v>
      </c>
      <c r="D706" s="473" t="s">
        <v>1027</v>
      </c>
      <c r="E706" s="468" t="s">
        <v>2827</v>
      </c>
      <c r="F706" s="475" t="s">
        <v>2762</v>
      </c>
      <c r="G706" s="486" t="s">
        <v>2828</v>
      </c>
    </row>
    <row r="707" spans="1:7">
      <c r="A707" s="471" t="s">
        <v>2653</v>
      </c>
      <c r="B707" s="472" t="s">
        <v>2829</v>
      </c>
      <c r="C707" s="471" t="s">
        <v>2830</v>
      </c>
      <c r="D707" s="491"/>
      <c r="E707" s="468" t="s">
        <v>2831</v>
      </c>
      <c r="F707" s="479" t="s">
        <v>497</v>
      </c>
      <c r="G707" s="486" t="s">
        <v>2786</v>
      </c>
    </row>
    <row r="708" spans="1:7">
      <c r="A708" s="471" t="s">
        <v>2653</v>
      </c>
      <c r="B708" s="472" t="s">
        <v>2832</v>
      </c>
      <c r="C708" s="471" t="s">
        <v>2833</v>
      </c>
      <c r="D708" s="473" t="s">
        <v>1027</v>
      </c>
      <c r="E708" s="468" t="s">
        <v>2834</v>
      </c>
      <c r="F708" s="475" t="s">
        <v>1823</v>
      </c>
      <c r="G708" s="486" t="s">
        <v>688</v>
      </c>
    </row>
    <row r="709" spans="1:7">
      <c r="A709" s="471" t="s">
        <v>2653</v>
      </c>
      <c r="B709" s="472" t="s">
        <v>2835</v>
      </c>
      <c r="C709" s="471" t="s">
        <v>2836</v>
      </c>
      <c r="D709" s="491"/>
      <c r="E709" s="468" t="s">
        <v>2837</v>
      </c>
      <c r="F709" s="479" t="s">
        <v>1029</v>
      </c>
      <c r="G709" s="486"/>
    </row>
    <row r="710" spans="1:7">
      <c r="A710" s="471" t="s">
        <v>2653</v>
      </c>
      <c r="B710" s="472" t="s">
        <v>2838</v>
      </c>
      <c r="C710" s="471" t="s">
        <v>2839</v>
      </c>
      <c r="D710" s="491"/>
      <c r="E710" s="468" t="s">
        <v>2840</v>
      </c>
      <c r="F710" s="486" t="s">
        <v>463</v>
      </c>
      <c r="G710" s="486"/>
    </row>
    <row r="711" spans="1:7">
      <c r="A711" s="471" t="s">
        <v>2653</v>
      </c>
      <c r="B711" s="472" t="s">
        <v>2841</v>
      </c>
      <c r="C711" s="471" t="s">
        <v>2842</v>
      </c>
      <c r="D711" s="473" t="s">
        <v>1027</v>
      </c>
      <c r="E711" s="468" t="s">
        <v>2843</v>
      </c>
      <c r="F711" s="486" t="s">
        <v>1819</v>
      </c>
      <c r="G711" s="486" t="s">
        <v>1837</v>
      </c>
    </row>
    <row r="712" spans="1:7">
      <c r="A712" s="471" t="s">
        <v>2653</v>
      </c>
      <c r="B712" s="472" t="s">
        <v>2844</v>
      </c>
      <c r="C712" s="471" t="s">
        <v>2845</v>
      </c>
      <c r="D712" s="473" t="s">
        <v>1027</v>
      </c>
      <c r="E712" s="468" t="s">
        <v>2846</v>
      </c>
      <c r="F712" s="486" t="s">
        <v>1819</v>
      </c>
      <c r="G712" s="486" t="s">
        <v>1837</v>
      </c>
    </row>
    <row r="713" spans="1:7">
      <c r="A713" s="471" t="s">
        <v>2653</v>
      </c>
      <c r="B713" s="472" t="s">
        <v>2847</v>
      </c>
      <c r="C713" s="471" t="s">
        <v>2848</v>
      </c>
      <c r="D713" s="473" t="s">
        <v>1027</v>
      </c>
      <c r="E713" s="468" t="s">
        <v>2849</v>
      </c>
      <c r="F713" s="486" t="s">
        <v>1819</v>
      </c>
      <c r="G713" s="486" t="s">
        <v>1837</v>
      </c>
    </row>
    <row r="714" spans="1:7">
      <c r="A714" s="471" t="s">
        <v>2653</v>
      </c>
      <c r="B714" s="472" t="s">
        <v>2850</v>
      </c>
      <c r="C714" s="471" t="s">
        <v>2851</v>
      </c>
      <c r="D714" s="473" t="s">
        <v>1027</v>
      </c>
      <c r="E714" s="468" t="s">
        <v>2852</v>
      </c>
      <c r="F714" s="486" t="s">
        <v>1819</v>
      </c>
      <c r="G714" s="486" t="s">
        <v>1837</v>
      </c>
    </row>
    <row r="715" spans="1:7">
      <c r="A715" s="471" t="s">
        <v>2653</v>
      </c>
      <c r="B715" s="472" t="s">
        <v>2853</v>
      </c>
      <c r="C715" s="471" t="s">
        <v>2854</v>
      </c>
      <c r="D715" s="473" t="s">
        <v>1027</v>
      </c>
      <c r="E715" s="468" t="s">
        <v>2855</v>
      </c>
      <c r="F715" s="479" t="s">
        <v>1029</v>
      </c>
      <c r="G715" s="486"/>
    </row>
    <row r="716" spans="1:7">
      <c r="A716" s="471" t="s">
        <v>2653</v>
      </c>
      <c r="B716" s="472" t="s">
        <v>2856</v>
      </c>
      <c r="C716" s="471" t="s">
        <v>2857</v>
      </c>
      <c r="D716" s="473" t="s">
        <v>1027</v>
      </c>
      <c r="E716" s="468" t="s">
        <v>2858</v>
      </c>
      <c r="F716" s="486" t="s">
        <v>1819</v>
      </c>
      <c r="G716" s="486" t="s">
        <v>1837</v>
      </c>
    </row>
    <row r="717" spans="1:7">
      <c r="A717" s="471" t="s">
        <v>2653</v>
      </c>
      <c r="B717" s="472" t="s">
        <v>2859</v>
      </c>
      <c r="C717" s="471" t="s">
        <v>2860</v>
      </c>
      <c r="D717" s="473" t="s">
        <v>1027</v>
      </c>
      <c r="E717" s="468" t="s">
        <v>2861</v>
      </c>
      <c r="F717" s="475" t="s">
        <v>1823</v>
      </c>
      <c r="G717" s="486" t="s">
        <v>688</v>
      </c>
    </row>
    <row r="718" spans="1:7">
      <c r="A718" s="471" t="s">
        <v>2653</v>
      </c>
      <c r="B718" s="472" t="s">
        <v>2862</v>
      </c>
      <c r="C718" s="471" t="s">
        <v>2863</v>
      </c>
      <c r="D718" s="473" t="s">
        <v>1027</v>
      </c>
      <c r="E718" s="468" t="s">
        <v>2864</v>
      </c>
      <c r="F718" s="479" t="s">
        <v>1029</v>
      </c>
      <c r="G718" s="486"/>
    </row>
    <row r="719" spans="1:7">
      <c r="A719" s="471" t="s">
        <v>2653</v>
      </c>
      <c r="B719" s="472" t="s">
        <v>2865</v>
      </c>
      <c r="C719" s="471" t="s">
        <v>2866</v>
      </c>
      <c r="D719" s="473" t="s">
        <v>1027</v>
      </c>
      <c r="E719" s="468" t="s">
        <v>2867</v>
      </c>
      <c r="F719" s="486" t="s">
        <v>454</v>
      </c>
      <c r="G719" s="486" t="s">
        <v>2115</v>
      </c>
    </row>
    <row r="720" spans="1:7">
      <c r="A720" s="471" t="s">
        <v>2653</v>
      </c>
      <c r="B720" s="472" t="s">
        <v>2868</v>
      </c>
      <c r="C720" s="471" t="s">
        <v>2869</v>
      </c>
      <c r="D720" s="473" t="s">
        <v>1027</v>
      </c>
      <c r="E720" s="468" t="s">
        <v>2870</v>
      </c>
      <c r="F720" s="475" t="s">
        <v>463</v>
      </c>
      <c r="G720" s="486"/>
    </row>
    <row r="721" spans="1:7">
      <c r="A721" s="471" t="s">
        <v>2653</v>
      </c>
      <c r="B721" s="472" t="s">
        <v>2871</v>
      </c>
      <c r="C721" s="471" t="s">
        <v>2872</v>
      </c>
      <c r="D721" s="491"/>
      <c r="E721" s="468" t="s">
        <v>2873</v>
      </c>
      <c r="F721" s="479" t="s">
        <v>1029</v>
      </c>
      <c r="G721" s="486"/>
    </row>
    <row r="722" spans="1:7">
      <c r="A722" s="471" t="s">
        <v>2653</v>
      </c>
      <c r="B722" s="472" t="s">
        <v>2874</v>
      </c>
      <c r="C722" s="471" t="s">
        <v>2875</v>
      </c>
      <c r="D722" s="491"/>
      <c r="E722" s="468" t="s">
        <v>2876</v>
      </c>
      <c r="F722" s="479" t="s">
        <v>1029</v>
      </c>
      <c r="G722" s="486"/>
    </row>
    <row r="723" spans="1:7">
      <c r="A723" s="471" t="s">
        <v>2653</v>
      </c>
      <c r="B723" s="472" t="s">
        <v>1207</v>
      </c>
      <c r="C723" s="471" t="s">
        <v>2877</v>
      </c>
      <c r="D723" s="491"/>
      <c r="E723" s="468" t="s">
        <v>2878</v>
      </c>
      <c r="F723" s="479" t="s">
        <v>1029</v>
      </c>
      <c r="G723" s="486"/>
    </row>
    <row r="724" spans="1:7">
      <c r="A724" s="471" t="s">
        <v>2653</v>
      </c>
      <c r="B724" s="472" t="s">
        <v>2879</v>
      </c>
      <c r="C724" s="471" t="s">
        <v>2880</v>
      </c>
      <c r="D724" s="473" t="s">
        <v>1027</v>
      </c>
      <c r="E724" s="468" t="s">
        <v>2881</v>
      </c>
      <c r="F724" s="486" t="s">
        <v>497</v>
      </c>
      <c r="G724" s="486" t="s">
        <v>522</v>
      </c>
    </row>
    <row r="725" spans="1:7">
      <c r="A725" s="471" t="s">
        <v>2653</v>
      </c>
      <c r="B725" s="472" t="s">
        <v>2882</v>
      </c>
      <c r="C725" s="471" t="s">
        <v>2883</v>
      </c>
      <c r="D725" s="473" t="s">
        <v>1027</v>
      </c>
      <c r="E725" s="468" t="s">
        <v>2884</v>
      </c>
      <c r="F725" s="486" t="s">
        <v>1819</v>
      </c>
      <c r="G725" s="486" t="s">
        <v>1837</v>
      </c>
    </row>
    <row r="726" spans="1:7">
      <c r="A726" s="471" t="s">
        <v>2653</v>
      </c>
      <c r="B726" s="472" t="s">
        <v>2885</v>
      </c>
      <c r="C726" s="471" t="s">
        <v>2886</v>
      </c>
      <c r="D726" s="473" t="s">
        <v>1027</v>
      </c>
      <c r="E726" s="468" t="s">
        <v>2887</v>
      </c>
      <c r="F726" s="475" t="s">
        <v>590</v>
      </c>
      <c r="G726" s="475" t="s">
        <v>2888</v>
      </c>
    </row>
    <row r="727" spans="1:7">
      <c r="A727" s="471" t="s">
        <v>2653</v>
      </c>
      <c r="B727" s="472" t="s">
        <v>2889</v>
      </c>
      <c r="C727" s="471" t="s">
        <v>2890</v>
      </c>
      <c r="D727" s="473" t="s">
        <v>1027</v>
      </c>
      <c r="E727" s="468" t="s">
        <v>2891</v>
      </c>
      <c r="F727" s="475" t="s">
        <v>590</v>
      </c>
      <c r="G727" s="475" t="s">
        <v>2888</v>
      </c>
    </row>
    <row r="728" spans="1:7">
      <c r="A728" s="471" t="s">
        <v>2653</v>
      </c>
      <c r="B728" s="472" t="s">
        <v>2892</v>
      </c>
      <c r="C728" s="471" t="s">
        <v>2893</v>
      </c>
      <c r="D728" s="473" t="s">
        <v>1027</v>
      </c>
      <c r="E728" s="468" t="s">
        <v>2894</v>
      </c>
      <c r="F728" s="475" t="s">
        <v>590</v>
      </c>
      <c r="G728" s="475" t="s">
        <v>2888</v>
      </c>
    </row>
    <row r="729" spans="1:7">
      <c r="A729" s="471" t="s">
        <v>2653</v>
      </c>
      <c r="B729" s="472" t="s">
        <v>2895</v>
      </c>
      <c r="C729" s="471" t="s">
        <v>2896</v>
      </c>
      <c r="D729" s="473" t="s">
        <v>1027</v>
      </c>
      <c r="E729" s="468" t="s">
        <v>2897</v>
      </c>
      <c r="F729" s="475" t="s">
        <v>590</v>
      </c>
      <c r="G729" s="475" t="s">
        <v>2888</v>
      </c>
    </row>
    <row r="730" spans="1:7">
      <c r="A730" s="471" t="s">
        <v>2653</v>
      </c>
      <c r="B730" s="472" t="s">
        <v>2268</v>
      </c>
      <c r="C730" s="471" t="s">
        <v>2269</v>
      </c>
      <c r="D730" s="473" t="s">
        <v>1027</v>
      </c>
      <c r="E730" s="468" t="s">
        <v>2898</v>
      </c>
      <c r="F730" s="475" t="s">
        <v>590</v>
      </c>
      <c r="G730" s="475" t="s">
        <v>2271</v>
      </c>
    </row>
    <row r="731" spans="1:7">
      <c r="A731" s="471" t="s">
        <v>2653</v>
      </c>
      <c r="B731" s="472" t="s">
        <v>2899</v>
      </c>
      <c r="C731" s="471" t="s">
        <v>2900</v>
      </c>
      <c r="D731" s="473" t="s">
        <v>1027</v>
      </c>
      <c r="E731" s="468" t="s">
        <v>2901</v>
      </c>
      <c r="F731" s="475" t="s">
        <v>590</v>
      </c>
      <c r="G731" s="475" t="s">
        <v>2902</v>
      </c>
    </row>
    <row r="732" spans="1:7">
      <c r="A732" s="471" t="s">
        <v>2653</v>
      </c>
      <c r="B732" s="472" t="s">
        <v>2903</v>
      </c>
      <c r="C732" s="471" t="s">
        <v>2904</v>
      </c>
      <c r="D732" s="491"/>
      <c r="E732" s="468" t="s">
        <v>2905</v>
      </c>
      <c r="F732" s="479" t="s">
        <v>1029</v>
      </c>
      <c r="G732" s="477"/>
    </row>
    <row r="733" spans="1:7">
      <c r="A733" s="471" t="s">
        <v>2653</v>
      </c>
      <c r="B733" s="472" t="s">
        <v>2906</v>
      </c>
      <c r="C733" s="471" t="s">
        <v>2907</v>
      </c>
      <c r="D733" s="473" t="s">
        <v>1027</v>
      </c>
      <c r="E733" s="468" t="s">
        <v>2908</v>
      </c>
      <c r="F733" s="475" t="s">
        <v>2762</v>
      </c>
      <c r="G733" s="477" t="s">
        <v>2828</v>
      </c>
    </row>
    <row r="734" spans="1:7">
      <c r="A734" s="461" t="s">
        <v>2909</v>
      </c>
      <c r="B734" s="462"/>
      <c r="C734" s="467" t="s">
        <v>1022</v>
      </c>
      <c r="D734" s="463"/>
      <c r="E734" s="468" t="s">
        <v>2910</v>
      </c>
      <c r="F734" s="469"/>
      <c r="G734" s="470"/>
    </row>
    <row r="735" spans="1:7">
      <c r="A735" s="471" t="s">
        <v>2909</v>
      </c>
      <c r="B735" s="472" t="s">
        <v>1030</v>
      </c>
      <c r="C735" s="471" t="s">
        <v>1031</v>
      </c>
      <c r="D735" s="473" t="s">
        <v>1027</v>
      </c>
      <c r="E735" s="468" t="s">
        <v>2911</v>
      </c>
      <c r="F735" s="475" t="s">
        <v>760</v>
      </c>
      <c r="G735" s="477"/>
    </row>
    <row r="736" spans="1:7">
      <c r="A736" s="471" t="s">
        <v>2909</v>
      </c>
      <c r="B736" s="472" t="s">
        <v>2912</v>
      </c>
      <c r="C736" s="471" t="s">
        <v>2913</v>
      </c>
      <c r="D736" s="473" t="s">
        <v>1027</v>
      </c>
      <c r="E736" s="468" t="s">
        <v>2914</v>
      </c>
      <c r="F736" s="475" t="s">
        <v>840</v>
      </c>
      <c r="G736" s="477"/>
    </row>
    <row r="737" spans="1:7">
      <c r="A737" s="471" t="s">
        <v>2909</v>
      </c>
      <c r="B737" s="472" t="s">
        <v>2915</v>
      </c>
      <c r="C737" s="471" t="s">
        <v>2916</v>
      </c>
      <c r="D737" s="473" t="s">
        <v>1027</v>
      </c>
      <c r="E737" s="468" t="s">
        <v>2917</v>
      </c>
      <c r="F737" s="475" t="s">
        <v>760</v>
      </c>
      <c r="G737" s="477"/>
    </row>
    <row r="738" spans="1:7">
      <c r="A738" s="471" t="s">
        <v>2909</v>
      </c>
      <c r="B738" s="472" t="s">
        <v>1061</v>
      </c>
      <c r="C738" s="471" t="s">
        <v>1062</v>
      </c>
      <c r="D738" s="473" t="s">
        <v>1027</v>
      </c>
      <c r="E738" s="468" t="s">
        <v>2918</v>
      </c>
      <c r="F738" s="475" t="s">
        <v>760</v>
      </c>
      <c r="G738" s="477"/>
    </row>
    <row r="739" spans="1:7">
      <c r="A739" s="471" t="s">
        <v>2909</v>
      </c>
      <c r="B739" s="472" t="s">
        <v>2919</v>
      </c>
      <c r="C739" s="471" t="s">
        <v>2920</v>
      </c>
      <c r="D739" s="473" t="s">
        <v>1027</v>
      </c>
      <c r="E739" s="468" t="s">
        <v>2921</v>
      </c>
      <c r="F739" s="475" t="s">
        <v>760</v>
      </c>
      <c r="G739" s="477"/>
    </row>
    <row r="740" spans="1:7">
      <c r="A740" s="471" t="s">
        <v>2909</v>
      </c>
      <c r="B740" s="472" t="s">
        <v>2922</v>
      </c>
      <c r="C740" s="471" t="s">
        <v>2923</v>
      </c>
      <c r="D740" s="473" t="s">
        <v>1027</v>
      </c>
      <c r="E740" s="468" t="s">
        <v>2924</v>
      </c>
      <c r="F740" s="475" t="s">
        <v>760</v>
      </c>
      <c r="G740" s="477"/>
    </row>
    <row r="741" spans="1:7">
      <c r="A741" s="471" t="s">
        <v>2909</v>
      </c>
      <c r="B741" s="472" t="s">
        <v>2925</v>
      </c>
      <c r="C741" s="471" t="s">
        <v>2926</v>
      </c>
      <c r="D741" s="473" t="s">
        <v>1027</v>
      </c>
      <c r="E741" s="468" t="s">
        <v>2927</v>
      </c>
      <c r="F741" s="475" t="s">
        <v>760</v>
      </c>
      <c r="G741" s="477"/>
    </row>
    <row r="742" spans="1:7">
      <c r="A742" s="471" t="s">
        <v>2909</v>
      </c>
      <c r="B742" s="472" t="s">
        <v>2928</v>
      </c>
      <c r="C742" s="471" t="s">
        <v>2929</v>
      </c>
      <c r="D742" s="473" t="s">
        <v>1027</v>
      </c>
      <c r="E742" s="468" t="s">
        <v>2930</v>
      </c>
      <c r="F742" s="475" t="s">
        <v>760</v>
      </c>
      <c r="G742" s="477"/>
    </row>
    <row r="743" spans="1:7">
      <c r="A743" s="471" t="s">
        <v>2909</v>
      </c>
      <c r="B743" s="472" t="s">
        <v>2931</v>
      </c>
      <c r="C743" s="471" t="s">
        <v>2932</v>
      </c>
      <c r="D743" s="473" t="s">
        <v>1027</v>
      </c>
      <c r="E743" s="468" t="s">
        <v>2933</v>
      </c>
      <c r="F743" s="479" t="s">
        <v>1029</v>
      </c>
      <c r="G743" s="477"/>
    </row>
    <row r="744" spans="1:7">
      <c r="A744" s="471" t="s">
        <v>2909</v>
      </c>
      <c r="B744" s="472" t="s">
        <v>2487</v>
      </c>
      <c r="C744" s="471" t="s">
        <v>2934</v>
      </c>
      <c r="D744" s="473" t="s">
        <v>1027</v>
      </c>
      <c r="E744" s="468" t="s">
        <v>2935</v>
      </c>
      <c r="F744" s="475" t="s">
        <v>760</v>
      </c>
      <c r="G744" s="477"/>
    </row>
    <row r="745" spans="1:7">
      <c r="A745" s="471" t="s">
        <v>2909</v>
      </c>
      <c r="B745" s="472" t="s">
        <v>2922</v>
      </c>
      <c r="C745" s="471" t="s">
        <v>2936</v>
      </c>
      <c r="D745" s="473" t="s">
        <v>1027</v>
      </c>
      <c r="E745" s="468" t="s">
        <v>2937</v>
      </c>
      <c r="F745" s="475" t="s">
        <v>760</v>
      </c>
      <c r="G745" s="477"/>
    </row>
    <row r="746" spans="1:7">
      <c r="A746" s="471" t="s">
        <v>2909</v>
      </c>
      <c r="B746" s="472" t="s">
        <v>2938</v>
      </c>
      <c r="C746" s="471" t="s">
        <v>2939</v>
      </c>
      <c r="D746" s="473" t="s">
        <v>1027</v>
      </c>
      <c r="E746" s="468" t="s">
        <v>2940</v>
      </c>
      <c r="F746" s="475" t="s">
        <v>760</v>
      </c>
      <c r="G746" s="477"/>
    </row>
    <row r="747" spans="1:7">
      <c r="A747" s="471" t="s">
        <v>2909</v>
      </c>
      <c r="B747" s="472" t="s">
        <v>2941</v>
      </c>
      <c r="C747" s="471" t="s">
        <v>2942</v>
      </c>
      <c r="D747" s="473" t="s">
        <v>1027</v>
      </c>
      <c r="E747" s="468" t="s">
        <v>2943</v>
      </c>
      <c r="F747" s="475" t="s">
        <v>760</v>
      </c>
      <c r="G747" s="477"/>
    </row>
    <row r="748" spans="1:7">
      <c r="A748" s="471" t="s">
        <v>2909</v>
      </c>
      <c r="B748" s="472" t="s">
        <v>2944</v>
      </c>
      <c r="C748" s="471" t="s">
        <v>2945</v>
      </c>
      <c r="D748" s="473" t="s">
        <v>1027</v>
      </c>
      <c r="E748" s="468" t="s">
        <v>2946</v>
      </c>
      <c r="F748" s="479" t="s">
        <v>1029</v>
      </c>
      <c r="G748" s="477"/>
    </row>
    <row r="749" spans="1:7">
      <c r="A749" s="471" t="s">
        <v>2909</v>
      </c>
      <c r="B749" s="472" t="s">
        <v>2947</v>
      </c>
      <c r="C749" s="471" t="s">
        <v>2948</v>
      </c>
      <c r="D749" s="473" t="s">
        <v>1027</v>
      </c>
      <c r="E749" s="468" t="s">
        <v>2949</v>
      </c>
      <c r="F749" s="475" t="s">
        <v>760</v>
      </c>
      <c r="G749" s="477"/>
    </row>
    <row r="750" spans="1:7">
      <c r="A750" s="471" t="s">
        <v>2909</v>
      </c>
      <c r="B750" s="472" t="s">
        <v>481</v>
      </c>
      <c r="C750" s="471" t="s">
        <v>2950</v>
      </c>
      <c r="D750" s="473" t="s">
        <v>1027</v>
      </c>
      <c r="E750" s="468" t="s">
        <v>2951</v>
      </c>
      <c r="F750" s="475" t="s">
        <v>481</v>
      </c>
      <c r="G750" s="477"/>
    </row>
    <row r="751" spans="1:7">
      <c r="A751" s="471" t="s">
        <v>2909</v>
      </c>
      <c r="B751" s="472" t="s">
        <v>2952</v>
      </c>
      <c r="C751" s="471" t="s">
        <v>2953</v>
      </c>
      <c r="D751" s="473" t="s">
        <v>1027</v>
      </c>
      <c r="E751" s="468" t="s">
        <v>2954</v>
      </c>
      <c r="F751" s="475" t="s">
        <v>481</v>
      </c>
      <c r="G751" s="477"/>
    </row>
    <row r="752" spans="1:7">
      <c r="A752" s="471" t="s">
        <v>2909</v>
      </c>
      <c r="B752" s="472" t="s">
        <v>2955</v>
      </c>
      <c r="C752" s="471" t="s">
        <v>2956</v>
      </c>
      <c r="D752" s="473" t="s">
        <v>1027</v>
      </c>
      <c r="E752" s="468" t="s">
        <v>2957</v>
      </c>
      <c r="F752" s="475" t="s">
        <v>481</v>
      </c>
      <c r="G752" s="477"/>
    </row>
    <row r="753" spans="1:7">
      <c r="A753" s="471" t="s">
        <v>2909</v>
      </c>
      <c r="B753" s="472" t="s">
        <v>2958</v>
      </c>
      <c r="C753" s="471" t="s">
        <v>2959</v>
      </c>
      <c r="D753" s="473" t="s">
        <v>1027</v>
      </c>
      <c r="E753" s="468" t="s">
        <v>2960</v>
      </c>
      <c r="F753" s="479" t="s">
        <v>1029</v>
      </c>
      <c r="G753" s="477"/>
    </row>
    <row r="754" spans="1:7">
      <c r="A754" s="471" t="s">
        <v>2909</v>
      </c>
      <c r="B754" s="472" t="s">
        <v>1838</v>
      </c>
      <c r="C754" s="471" t="s">
        <v>1839</v>
      </c>
      <c r="D754" s="473" t="s">
        <v>1027</v>
      </c>
      <c r="E754" s="468" t="s">
        <v>2961</v>
      </c>
      <c r="F754" s="475" t="s">
        <v>481</v>
      </c>
      <c r="G754" s="477"/>
    </row>
    <row r="755" spans="1:7">
      <c r="A755" s="471" t="s">
        <v>2909</v>
      </c>
      <c r="B755" s="472" t="s">
        <v>1207</v>
      </c>
      <c r="C755" s="471" t="s">
        <v>2962</v>
      </c>
      <c r="D755" s="491"/>
      <c r="E755" s="468" t="s">
        <v>2963</v>
      </c>
      <c r="F755" s="486" t="s">
        <v>1029</v>
      </c>
      <c r="G755" s="477"/>
    </row>
    <row r="756" spans="1:7">
      <c r="A756" s="471" t="s">
        <v>2909</v>
      </c>
      <c r="B756" s="472" t="s">
        <v>2964</v>
      </c>
      <c r="C756" s="471" t="s">
        <v>2965</v>
      </c>
      <c r="D756" s="473" t="s">
        <v>1027</v>
      </c>
      <c r="E756" s="468" t="s">
        <v>2966</v>
      </c>
      <c r="F756" s="475" t="s">
        <v>760</v>
      </c>
      <c r="G756" s="477"/>
    </row>
    <row r="757" spans="1:7">
      <c r="A757" s="471" t="s">
        <v>2909</v>
      </c>
      <c r="B757" s="472" t="s">
        <v>2967</v>
      </c>
      <c r="C757" s="471" t="s">
        <v>2968</v>
      </c>
      <c r="D757" s="473" t="s">
        <v>1027</v>
      </c>
      <c r="E757" s="468" t="s">
        <v>2969</v>
      </c>
      <c r="F757" s="475" t="s">
        <v>748</v>
      </c>
      <c r="G757" s="475" t="s">
        <v>750</v>
      </c>
    </row>
    <row r="758" spans="1:7">
      <c r="A758" s="471" t="s">
        <v>2909</v>
      </c>
      <c r="B758" s="472" t="s">
        <v>2970</v>
      </c>
      <c r="C758" s="471" t="s">
        <v>2971</v>
      </c>
      <c r="D758" s="473" t="s">
        <v>1027</v>
      </c>
      <c r="E758" s="468" t="s">
        <v>2972</v>
      </c>
      <c r="F758" s="475" t="s">
        <v>760</v>
      </c>
      <c r="G758" s="477"/>
    </row>
    <row r="759" spans="1:7">
      <c r="A759" s="471" t="s">
        <v>2909</v>
      </c>
      <c r="B759" s="472" t="s">
        <v>2204</v>
      </c>
      <c r="C759" s="471" t="s">
        <v>2205</v>
      </c>
      <c r="D759" s="491"/>
      <c r="E759" s="468" t="s">
        <v>2973</v>
      </c>
      <c r="F759" s="486" t="s">
        <v>497</v>
      </c>
      <c r="G759" s="477" t="s">
        <v>513</v>
      </c>
    </row>
    <row r="760" spans="1:7">
      <c r="A760" s="471" t="s">
        <v>2909</v>
      </c>
      <c r="B760" s="472" t="s">
        <v>2974</v>
      </c>
      <c r="C760" s="471" t="s">
        <v>2975</v>
      </c>
      <c r="D760" s="473" t="s">
        <v>1027</v>
      </c>
      <c r="E760" s="468" t="s">
        <v>2976</v>
      </c>
      <c r="F760" s="475" t="s">
        <v>280</v>
      </c>
      <c r="G760" s="475" t="s">
        <v>1856</v>
      </c>
    </row>
    <row r="761" spans="1:7">
      <c r="A761" s="471" t="s">
        <v>2909</v>
      </c>
      <c r="B761" s="472" t="s">
        <v>2977</v>
      </c>
      <c r="C761" s="471" t="s">
        <v>2978</v>
      </c>
      <c r="D761" s="473" t="s">
        <v>1027</v>
      </c>
      <c r="E761" s="468" t="s">
        <v>2979</v>
      </c>
      <c r="F761" s="475" t="s">
        <v>280</v>
      </c>
      <c r="G761" s="475" t="s">
        <v>1856</v>
      </c>
    </row>
    <row r="762" spans="1:7">
      <c r="A762" s="471" t="s">
        <v>2909</v>
      </c>
      <c r="B762" s="472" t="s">
        <v>2980</v>
      </c>
      <c r="C762" s="471" t="s">
        <v>2981</v>
      </c>
      <c r="D762" s="473" t="s">
        <v>1027</v>
      </c>
      <c r="E762" s="468" t="s">
        <v>2982</v>
      </c>
      <c r="F762" s="475" t="s">
        <v>280</v>
      </c>
      <c r="G762" s="475" t="s">
        <v>1856</v>
      </c>
    </row>
    <row r="763" spans="1:7">
      <c r="A763" s="471" t="s">
        <v>2909</v>
      </c>
      <c r="B763" s="472" t="s">
        <v>2983</v>
      </c>
      <c r="C763" s="471" t="s">
        <v>2984</v>
      </c>
      <c r="D763" s="473" t="s">
        <v>1027</v>
      </c>
      <c r="E763" s="468" t="s">
        <v>2985</v>
      </c>
      <c r="F763" s="475" t="s">
        <v>280</v>
      </c>
      <c r="G763" s="475" t="s">
        <v>1856</v>
      </c>
    </row>
    <row r="764" spans="1:7">
      <c r="A764" s="471" t="s">
        <v>2909</v>
      </c>
      <c r="B764" s="472" t="s">
        <v>2986</v>
      </c>
      <c r="C764" s="471" t="s">
        <v>2987</v>
      </c>
      <c r="D764" s="473" t="s">
        <v>1027</v>
      </c>
      <c r="E764" s="468" t="s">
        <v>2988</v>
      </c>
      <c r="F764" s="475" t="s">
        <v>280</v>
      </c>
      <c r="G764" s="475" t="s">
        <v>1856</v>
      </c>
    </row>
    <row r="765" spans="1:7">
      <c r="A765" s="471" t="s">
        <v>2909</v>
      </c>
      <c r="B765" s="472" t="s">
        <v>2989</v>
      </c>
      <c r="C765" s="471" t="s">
        <v>2990</v>
      </c>
      <c r="D765" s="473" t="s">
        <v>1027</v>
      </c>
      <c r="E765" s="468" t="s">
        <v>2991</v>
      </c>
      <c r="F765" s="475" t="s">
        <v>280</v>
      </c>
      <c r="G765" s="475" t="s">
        <v>1856</v>
      </c>
    </row>
    <row r="766" spans="1:7">
      <c r="A766" s="471" t="s">
        <v>2909</v>
      </c>
      <c r="B766" s="472" t="s">
        <v>2992</v>
      </c>
      <c r="C766" s="471" t="s">
        <v>2993</v>
      </c>
      <c r="D766" s="473" t="s">
        <v>1027</v>
      </c>
      <c r="E766" s="468" t="s">
        <v>2994</v>
      </c>
      <c r="F766" s="475" t="s">
        <v>280</v>
      </c>
      <c r="G766" s="475" t="s">
        <v>1856</v>
      </c>
    </row>
    <row r="767" spans="1:7">
      <c r="A767" s="471" t="s">
        <v>2909</v>
      </c>
      <c r="B767" s="472" t="s">
        <v>2995</v>
      </c>
      <c r="C767" s="471" t="s">
        <v>2996</v>
      </c>
      <c r="D767" s="473" t="s">
        <v>1027</v>
      </c>
      <c r="E767" s="468" t="s">
        <v>2997</v>
      </c>
      <c r="F767" s="475" t="s">
        <v>280</v>
      </c>
      <c r="G767" s="475" t="s">
        <v>1856</v>
      </c>
    </row>
    <row r="768" spans="1:7">
      <c r="A768" s="471" t="s">
        <v>2909</v>
      </c>
      <c r="B768" s="472" t="s">
        <v>2998</v>
      </c>
      <c r="C768" s="471" t="s">
        <v>2999</v>
      </c>
      <c r="D768" s="473" t="s">
        <v>1027</v>
      </c>
      <c r="E768" s="468" t="s">
        <v>3000</v>
      </c>
      <c r="F768" s="475" t="s">
        <v>280</v>
      </c>
      <c r="G768" s="475" t="s">
        <v>3001</v>
      </c>
    </row>
    <row r="769" spans="1:7">
      <c r="A769" s="471" t="s">
        <v>2909</v>
      </c>
      <c r="B769" s="472" t="s">
        <v>3002</v>
      </c>
      <c r="C769" s="471" t="s">
        <v>3003</v>
      </c>
      <c r="D769" s="473" t="s">
        <v>1027</v>
      </c>
      <c r="E769" s="468" t="s">
        <v>3004</v>
      </c>
      <c r="F769" s="479" t="s">
        <v>1029</v>
      </c>
      <c r="G769" s="475"/>
    </row>
    <row r="770" spans="1:7">
      <c r="A770" s="471" t="s">
        <v>2909</v>
      </c>
      <c r="B770" s="472" t="s">
        <v>1853</v>
      </c>
      <c r="C770" s="471" t="s">
        <v>1854</v>
      </c>
      <c r="D770" s="473" t="s">
        <v>1027</v>
      </c>
      <c r="E770" s="468" t="s">
        <v>3005</v>
      </c>
      <c r="F770" s="474" t="s">
        <v>280</v>
      </c>
      <c r="G770" s="474" t="s">
        <v>1856</v>
      </c>
    </row>
    <row r="771" spans="1:7">
      <c r="A771" s="471" t="s">
        <v>2909</v>
      </c>
      <c r="B771" s="472" t="s">
        <v>3006</v>
      </c>
      <c r="C771" s="471" t="s">
        <v>3007</v>
      </c>
      <c r="D771" s="473" t="s">
        <v>1027</v>
      </c>
      <c r="E771" s="468" t="s">
        <v>3008</v>
      </c>
      <c r="F771" s="475" t="s">
        <v>760</v>
      </c>
      <c r="G771" s="475"/>
    </row>
    <row r="772" spans="1:7">
      <c r="A772" s="471" t="s">
        <v>2909</v>
      </c>
      <c r="B772" s="472" t="s">
        <v>3009</v>
      </c>
      <c r="C772" s="471" t="s">
        <v>3010</v>
      </c>
      <c r="D772" s="473" t="s">
        <v>1027</v>
      </c>
      <c r="E772" s="468" t="s">
        <v>3011</v>
      </c>
      <c r="F772" s="479" t="s">
        <v>1029</v>
      </c>
      <c r="G772" s="475"/>
    </row>
    <row r="773" spans="1:7">
      <c r="A773" s="471" t="s">
        <v>2909</v>
      </c>
      <c r="B773" s="472" t="s">
        <v>3012</v>
      </c>
      <c r="C773" s="471" t="s">
        <v>3013</v>
      </c>
      <c r="D773" s="473" t="s">
        <v>1027</v>
      </c>
      <c r="E773" s="468" t="s">
        <v>3014</v>
      </c>
      <c r="F773" s="475" t="s">
        <v>280</v>
      </c>
      <c r="G773" s="475" t="s">
        <v>3001</v>
      </c>
    </row>
    <row r="774" spans="1:7">
      <c r="A774" s="471" t="s">
        <v>2909</v>
      </c>
      <c r="B774" s="472" t="s">
        <v>3015</v>
      </c>
      <c r="C774" s="471" t="s">
        <v>3016</v>
      </c>
      <c r="D774" s="473" t="s">
        <v>1027</v>
      </c>
      <c r="E774" s="468" t="s">
        <v>3017</v>
      </c>
      <c r="F774" s="475" t="s">
        <v>280</v>
      </c>
      <c r="G774" s="475" t="s">
        <v>3001</v>
      </c>
    </row>
    <row r="775" spans="1:7">
      <c r="A775" s="471" t="s">
        <v>2909</v>
      </c>
      <c r="B775" s="472" t="s">
        <v>3018</v>
      </c>
      <c r="C775" s="471" t="s">
        <v>3019</v>
      </c>
      <c r="D775" s="473" t="s">
        <v>1027</v>
      </c>
      <c r="E775" s="468" t="s">
        <v>3020</v>
      </c>
      <c r="F775" s="479" t="s">
        <v>1029</v>
      </c>
      <c r="G775" s="475"/>
    </row>
    <row r="776" spans="1:7">
      <c r="A776" s="471" t="s">
        <v>2909</v>
      </c>
      <c r="B776" s="472" t="s">
        <v>3021</v>
      </c>
      <c r="C776" s="471" t="s">
        <v>3022</v>
      </c>
      <c r="D776" s="473" t="s">
        <v>1027</v>
      </c>
      <c r="E776" s="468" t="s">
        <v>3023</v>
      </c>
      <c r="F776" s="475" t="s">
        <v>280</v>
      </c>
      <c r="G776" s="475" t="s">
        <v>3001</v>
      </c>
    </row>
    <row r="777" spans="1:7">
      <c r="A777" s="471" t="s">
        <v>2909</v>
      </c>
      <c r="B777" s="472" t="s">
        <v>1389</v>
      </c>
      <c r="C777" s="471" t="s">
        <v>1390</v>
      </c>
      <c r="D777" s="473" t="s">
        <v>1027</v>
      </c>
      <c r="E777" s="468" t="s">
        <v>3024</v>
      </c>
      <c r="F777" s="475" t="s">
        <v>280</v>
      </c>
      <c r="G777" s="475" t="s">
        <v>1392</v>
      </c>
    </row>
    <row r="778" spans="1:7">
      <c r="A778" s="471" t="s">
        <v>2909</v>
      </c>
      <c r="B778" s="472" t="s">
        <v>3025</v>
      </c>
      <c r="C778" s="471" t="s">
        <v>3026</v>
      </c>
      <c r="D778" s="491"/>
      <c r="E778" s="468" t="s">
        <v>3027</v>
      </c>
      <c r="F778" s="479" t="s">
        <v>1029</v>
      </c>
      <c r="G778" s="477"/>
    </row>
    <row r="779" spans="1:7">
      <c r="A779" s="471" t="s">
        <v>2909</v>
      </c>
      <c r="B779" s="472" t="s">
        <v>3028</v>
      </c>
      <c r="C779" s="471" t="s">
        <v>3029</v>
      </c>
      <c r="D779" s="491"/>
      <c r="E779" s="468" t="s">
        <v>3030</v>
      </c>
      <c r="F779" s="486" t="s">
        <v>1029</v>
      </c>
      <c r="G779" s="477"/>
    </row>
    <row r="780" spans="1:7">
      <c r="A780" s="471" t="s">
        <v>2909</v>
      </c>
      <c r="B780" s="472" t="s">
        <v>3031</v>
      </c>
      <c r="C780" s="471" t="s">
        <v>3032</v>
      </c>
      <c r="D780" s="473" t="s">
        <v>1027</v>
      </c>
      <c r="E780" s="468" t="s">
        <v>3033</v>
      </c>
      <c r="F780" s="475" t="s">
        <v>280</v>
      </c>
      <c r="G780" s="475" t="s">
        <v>1860</v>
      </c>
    </row>
    <row r="781" spans="1:7">
      <c r="A781" s="471" t="s">
        <v>2909</v>
      </c>
      <c r="B781" s="472" t="s">
        <v>3034</v>
      </c>
      <c r="C781" s="471" t="s">
        <v>3035</v>
      </c>
      <c r="D781" s="473" t="s">
        <v>1027</v>
      </c>
      <c r="E781" s="468" t="s">
        <v>3036</v>
      </c>
      <c r="F781" s="475" t="s">
        <v>280</v>
      </c>
      <c r="G781" s="475" t="s">
        <v>1860</v>
      </c>
    </row>
    <row r="782" spans="1:7">
      <c r="A782" s="471" t="s">
        <v>2909</v>
      </c>
      <c r="B782" s="472" t="s">
        <v>3037</v>
      </c>
      <c r="C782" s="471" t="s">
        <v>3038</v>
      </c>
      <c r="D782" s="473" t="s">
        <v>1027</v>
      </c>
      <c r="E782" s="468" t="s">
        <v>3039</v>
      </c>
      <c r="F782" s="479" t="s">
        <v>1029</v>
      </c>
      <c r="G782" s="475"/>
    </row>
    <row r="783" spans="1:7">
      <c r="A783" s="471" t="s">
        <v>2909</v>
      </c>
      <c r="B783" s="472" t="s">
        <v>1857</v>
      </c>
      <c r="C783" s="471" t="s">
        <v>1858</v>
      </c>
      <c r="D783" s="473" t="s">
        <v>1027</v>
      </c>
      <c r="E783" s="468" t="s">
        <v>3040</v>
      </c>
      <c r="F783" s="475" t="s">
        <v>280</v>
      </c>
      <c r="G783" s="475" t="s">
        <v>1860</v>
      </c>
    </row>
    <row r="784" spans="1:7">
      <c r="A784" s="471" t="s">
        <v>2909</v>
      </c>
      <c r="B784" s="472" t="s">
        <v>1207</v>
      </c>
      <c r="C784" s="471" t="s">
        <v>3041</v>
      </c>
      <c r="D784" s="491"/>
      <c r="E784" s="468" t="s">
        <v>3042</v>
      </c>
      <c r="F784" s="486" t="s">
        <v>1029</v>
      </c>
      <c r="G784" s="477"/>
    </row>
    <row r="785" spans="1:7">
      <c r="A785" s="471" t="s">
        <v>2909</v>
      </c>
      <c r="B785" s="472" t="s">
        <v>3043</v>
      </c>
      <c r="C785" s="471" t="s">
        <v>3044</v>
      </c>
      <c r="D785" s="473" t="s">
        <v>1027</v>
      </c>
      <c r="E785" s="468" t="s">
        <v>3045</v>
      </c>
      <c r="F785" s="475" t="s">
        <v>657</v>
      </c>
      <c r="G785" s="475" t="s">
        <v>659</v>
      </c>
    </row>
    <row r="786" spans="1:7">
      <c r="A786" s="471" t="s">
        <v>2909</v>
      </c>
      <c r="B786" s="472" t="s">
        <v>3046</v>
      </c>
      <c r="C786" s="471" t="s">
        <v>3047</v>
      </c>
      <c r="D786" s="473" t="s">
        <v>1027</v>
      </c>
      <c r="E786" s="468" t="s">
        <v>3048</v>
      </c>
      <c r="F786" s="475" t="s">
        <v>1823</v>
      </c>
      <c r="G786" s="477"/>
    </row>
    <row r="787" spans="1:7">
      <c r="A787" s="471" t="s">
        <v>2909</v>
      </c>
      <c r="B787" s="472" t="s">
        <v>3049</v>
      </c>
      <c r="C787" s="471" t="s">
        <v>3050</v>
      </c>
      <c r="D787" s="473" t="s">
        <v>1027</v>
      </c>
      <c r="E787" s="468" t="s">
        <v>3051</v>
      </c>
      <c r="F787" s="475" t="s">
        <v>535</v>
      </c>
      <c r="G787" s="475" t="s">
        <v>3052</v>
      </c>
    </row>
    <row r="788" spans="1:7">
      <c r="A788" s="471" t="s">
        <v>2909</v>
      </c>
      <c r="B788" s="472" t="s">
        <v>2255</v>
      </c>
      <c r="C788" s="471" t="s">
        <v>2256</v>
      </c>
      <c r="D788" s="491"/>
      <c r="E788" s="468" t="s">
        <v>3053</v>
      </c>
      <c r="F788" s="486" t="s">
        <v>1819</v>
      </c>
      <c r="G788" s="486" t="s">
        <v>1837</v>
      </c>
    </row>
    <row r="789" spans="1:7">
      <c r="A789" s="471" t="s">
        <v>3054</v>
      </c>
      <c r="B789" s="472" t="s">
        <v>1030</v>
      </c>
      <c r="C789" s="471" t="s">
        <v>1031</v>
      </c>
      <c r="D789" s="491"/>
      <c r="E789" s="468" t="s">
        <v>3055</v>
      </c>
      <c r="F789" s="476" t="s">
        <v>1029</v>
      </c>
      <c r="G789" s="477"/>
    </row>
    <row r="790" spans="1:7">
      <c r="A790" s="471" t="s">
        <v>3054</v>
      </c>
      <c r="B790" s="472" t="s">
        <v>3056</v>
      </c>
      <c r="C790" s="471" t="s">
        <v>3057</v>
      </c>
      <c r="D790" s="491"/>
      <c r="E790" s="468" t="s">
        <v>3058</v>
      </c>
      <c r="F790" s="474" t="s">
        <v>1029</v>
      </c>
      <c r="G790" s="477"/>
    </row>
    <row r="791" spans="1:7">
      <c r="A791" s="471" t="s">
        <v>3054</v>
      </c>
      <c r="B791" s="472" t="s">
        <v>1061</v>
      </c>
      <c r="C791" s="471" t="s">
        <v>1062</v>
      </c>
      <c r="D791" s="491"/>
      <c r="E791" s="468" t="s">
        <v>3059</v>
      </c>
      <c r="F791" s="476" t="s">
        <v>1029</v>
      </c>
      <c r="G791" s="477"/>
    </row>
    <row r="792" spans="1:7">
      <c r="A792" s="466" t="s">
        <v>3054</v>
      </c>
      <c r="B792" s="467"/>
      <c r="C792" s="467" t="s">
        <v>1022</v>
      </c>
      <c r="D792" s="463"/>
      <c r="E792" s="468" t="s">
        <v>3060</v>
      </c>
      <c r="F792" s="469"/>
      <c r="G792" s="470"/>
    </row>
    <row r="793" spans="1:7">
      <c r="A793" s="492" t="s">
        <v>3061</v>
      </c>
      <c r="B793" s="493"/>
      <c r="C793" s="467" t="s">
        <v>1022</v>
      </c>
      <c r="D793" s="463"/>
      <c r="E793" s="468" t="s">
        <v>3062</v>
      </c>
      <c r="F793" s="469"/>
      <c r="G793" s="470"/>
    </row>
    <row r="794" spans="1:7">
      <c r="A794" s="471" t="s">
        <v>3061</v>
      </c>
      <c r="B794" s="472" t="s">
        <v>3063</v>
      </c>
      <c r="C794" s="471" t="s">
        <v>3064</v>
      </c>
      <c r="D794" s="491"/>
      <c r="E794" s="468" t="s">
        <v>3065</v>
      </c>
      <c r="F794" s="474" t="s">
        <v>1029</v>
      </c>
      <c r="G794" s="477"/>
    </row>
    <row r="795" spans="1:7">
      <c r="A795" s="471" t="s">
        <v>3061</v>
      </c>
      <c r="B795" s="472" t="s">
        <v>3066</v>
      </c>
      <c r="C795" s="471" t="s">
        <v>3067</v>
      </c>
      <c r="D795" s="491"/>
      <c r="E795" s="468" t="s">
        <v>3068</v>
      </c>
      <c r="F795" s="474" t="s">
        <v>1029</v>
      </c>
      <c r="G795" s="477"/>
    </row>
    <row r="796" spans="1:7">
      <c r="A796" s="471" t="s">
        <v>3061</v>
      </c>
      <c r="B796" s="472" t="s">
        <v>3069</v>
      </c>
      <c r="C796" s="471" t="s">
        <v>3070</v>
      </c>
      <c r="D796" s="491"/>
      <c r="E796" s="468" t="s">
        <v>3071</v>
      </c>
      <c r="F796" s="474" t="s">
        <v>1029</v>
      </c>
      <c r="G796" s="477"/>
    </row>
    <row r="797" spans="1:7">
      <c r="A797" s="471" t="s">
        <v>3061</v>
      </c>
      <c r="B797" s="472" t="s">
        <v>3072</v>
      </c>
      <c r="C797" s="471" t="s">
        <v>3073</v>
      </c>
      <c r="D797" s="491"/>
      <c r="E797" s="468" t="s">
        <v>3074</v>
      </c>
      <c r="F797" s="474" t="s">
        <v>1029</v>
      </c>
      <c r="G797" s="477"/>
    </row>
    <row r="798" spans="1:7">
      <c r="A798" s="471" t="s">
        <v>3061</v>
      </c>
      <c r="B798" s="472" t="s">
        <v>1030</v>
      </c>
      <c r="C798" s="471" t="s">
        <v>1031</v>
      </c>
      <c r="D798" s="491"/>
      <c r="E798" s="468" t="s">
        <v>3075</v>
      </c>
      <c r="F798" s="474" t="s">
        <v>1029</v>
      </c>
      <c r="G798" s="477"/>
    </row>
    <row r="799" spans="1:7">
      <c r="A799" s="471" t="s">
        <v>3061</v>
      </c>
      <c r="B799" s="482" t="s">
        <v>3076</v>
      </c>
      <c r="C799" s="483" t="s">
        <v>3077</v>
      </c>
      <c r="D799" s="491"/>
      <c r="E799" s="468" t="s">
        <v>3078</v>
      </c>
      <c r="F799" s="474" t="s">
        <v>1029</v>
      </c>
      <c r="G799" s="477"/>
    </row>
    <row r="800" spans="1:7">
      <c r="A800" s="471" t="s">
        <v>3061</v>
      </c>
      <c r="B800" s="498" t="s">
        <v>1040</v>
      </c>
      <c r="C800" s="499" t="s">
        <v>1041</v>
      </c>
      <c r="D800" s="491"/>
      <c r="E800" s="468" t="s">
        <v>3079</v>
      </c>
      <c r="F800" s="474" t="s">
        <v>1029</v>
      </c>
      <c r="G800" s="477"/>
    </row>
    <row r="801" spans="1:7">
      <c r="A801" s="471" t="s">
        <v>3061</v>
      </c>
      <c r="B801" s="482" t="s">
        <v>3080</v>
      </c>
      <c r="C801" s="483" t="s">
        <v>3081</v>
      </c>
      <c r="D801" s="491"/>
      <c r="E801" s="468" t="s">
        <v>3082</v>
      </c>
      <c r="F801" s="474" t="s">
        <v>1029</v>
      </c>
      <c r="G801" s="477"/>
    </row>
    <row r="802" spans="1:7">
      <c r="A802" s="471" t="s">
        <v>3061</v>
      </c>
      <c r="B802" s="472" t="s">
        <v>1061</v>
      </c>
      <c r="C802" s="471" t="s">
        <v>1062</v>
      </c>
      <c r="D802" s="473" t="s">
        <v>1027</v>
      </c>
      <c r="E802" s="468" t="s">
        <v>3083</v>
      </c>
      <c r="F802" s="476" t="s">
        <v>1029</v>
      </c>
      <c r="G802" s="477"/>
    </row>
    <row r="803" spans="1:7">
      <c r="A803" s="471" t="s">
        <v>3084</v>
      </c>
      <c r="B803" s="472" t="s">
        <v>1030</v>
      </c>
      <c r="C803" s="471" t="s">
        <v>1031</v>
      </c>
      <c r="D803" s="491"/>
      <c r="E803" s="468" t="s">
        <v>3085</v>
      </c>
      <c r="F803" s="476" t="s">
        <v>1029</v>
      </c>
      <c r="G803" s="477"/>
    </row>
    <row r="804" spans="1:7">
      <c r="A804" s="471" t="s">
        <v>3084</v>
      </c>
      <c r="B804" s="472" t="s">
        <v>3086</v>
      </c>
      <c r="C804" s="471" t="s">
        <v>3087</v>
      </c>
      <c r="D804" s="491"/>
      <c r="E804" s="468" t="s">
        <v>3088</v>
      </c>
      <c r="F804" s="474" t="s">
        <v>1029</v>
      </c>
      <c r="G804" s="477"/>
    </row>
    <row r="805" spans="1:7">
      <c r="A805" s="471" t="s">
        <v>3084</v>
      </c>
      <c r="B805" s="472" t="s">
        <v>3089</v>
      </c>
      <c r="C805" s="471" t="s">
        <v>3090</v>
      </c>
      <c r="D805" s="491"/>
      <c r="E805" s="468" t="s">
        <v>3091</v>
      </c>
      <c r="F805" s="474" t="s">
        <v>1029</v>
      </c>
      <c r="G805" s="477"/>
    </row>
    <row r="806" spans="1:7">
      <c r="A806" s="471" t="s">
        <v>3084</v>
      </c>
      <c r="B806" s="472" t="s">
        <v>3092</v>
      </c>
      <c r="C806" s="471" t="s">
        <v>3093</v>
      </c>
      <c r="D806" s="491"/>
      <c r="E806" s="468" t="s">
        <v>3094</v>
      </c>
      <c r="F806" s="474" t="s">
        <v>1029</v>
      </c>
      <c r="G806" s="477"/>
    </row>
    <row r="807" spans="1:7">
      <c r="A807" s="471" t="s">
        <v>3084</v>
      </c>
      <c r="B807" s="472" t="s">
        <v>3095</v>
      </c>
      <c r="C807" s="471" t="s">
        <v>3096</v>
      </c>
      <c r="D807" s="491"/>
      <c r="E807" s="468" t="s">
        <v>3097</v>
      </c>
      <c r="F807" s="474" t="s">
        <v>1029</v>
      </c>
      <c r="G807" s="477"/>
    </row>
    <row r="808" spans="1:7">
      <c r="A808" s="471" t="s">
        <v>3084</v>
      </c>
      <c r="B808" s="472" t="s">
        <v>3098</v>
      </c>
      <c r="C808" s="471" t="s">
        <v>3099</v>
      </c>
      <c r="D808" s="491"/>
      <c r="E808" s="468" t="s">
        <v>3100</v>
      </c>
      <c r="F808" s="474" t="s">
        <v>1029</v>
      </c>
      <c r="G808" s="477"/>
    </row>
    <row r="809" spans="1:7">
      <c r="A809" s="471" t="s">
        <v>3084</v>
      </c>
      <c r="B809" s="472" t="s">
        <v>3101</v>
      </c>
      <c r="C809" s="471" t="s">
        <v>3102</v>
      </c>
      <c r="D809" s="491"/>
      <c r="E809" s="468" t="s">
        <v>3103</v>
      </c>
      <c r="F809" s="474" t="s">
        <v>1029</v>
      </c>
      <c r="G809" s="477"/>
    </row>
    <row r="810" spans="1:7">
      <c r="A810" s="471" t="s">
        <v>3084</v>
      </c>
      <c r="B810" s="472" t="s">
        <v>1025</v>
      </c>
      <c r="C810" s="471" t="s">
        <v>1026</v>
      </c>
      <c r="D810" s="491"/>
      <c r="E810" s="468" t="s">
        <v>3104</v>
      </c>
      <c r="F810" s="474" t="s">
        <v>1029</v>
      </c>
      <c r="G810" s="477"/>
    </row>
    <row r="811" spans="1:7">
      <c r="A811" s="471" t="s">
        <v>3084</v>
      </c>
      <c r="B811" s="472" t="s">
        <v>3105</v>
      </c>
      <c r="C811" s="471" t="s">
        <v>3106</v>
      </c>
      <c r="D811" s="491"/>
      <c r="E811" s="468" t="s">
        <v>3107</v>
      </c>
      <c r="F811" s="474" t="s">
        <v>1029</v>
      </c>
      <c r="G811" s="477"/>
    </row>
    <row r="812" spans="1:7">
      <c r="A812" s="471" t="s">
        <v>3084</v>
      </c>
      <c r="B812" s="472" t="s">
        <v>3108</v>
      </c>
      <c r="C812" s="471" t="s">
        <v>3109</v>
      </c>
      <c r="D812" s="491"/>
      <c r="E812" s="468" t="s">
        <v>3110</v>
      </c>
      <c r="F812" s="474" t="s">
        <v>1029</v>
      </c>
      <c r="G812" s="477"/>
    </row>
    <row r="813" spans="1:7">
      <c r="A813" s="471" t="s">
        <v>3084</v>
      </c>
      <c r="B813" s="472" t="s">
        <v>3111</v>
      </c>
      <c r="C813" s="471" t="s">
        <v>3112</v>
      </c>
      <c r="D813" s="491"/>
      <c r="E813" s="468" t="s">
        <v>3113</v>
      </c>
      <c r="F813" s="474" t="s">
        <v>1029</v>
      </c>
      <c r="G813" s="477"/>
    </row>
    <row r="814" spans="1:7">
      <c r="A814" s="471" t="s">
        <v>3084</v>
      </c>
      <c r="B814" s="472" t="s">
        <v>3114</v>
      </c>
      <c r="C814" s="471" t="s">
        <v>3115</v>
      </c>
      <c r="D814" s="491"/>
      <c r="E814" s="468" t="s">
        <v>3116</v>
      </c>
      <c r="F814" s="474" t="s">
        <v>1029</v>
      </c>
      <c r="G814" s="477"/>
    </row>
    <row r="815" spans="1:7">
      <c r="A815" s="471" t="s">
        <v>3084</v>
      </c>
      <c r="B815" s="472" t="s">
        <v>3117</v>
      </c>
      <c r="C815" s="471" t="s">
        <v>3118</v>
      </c>
      <c r="D815" s="491"/>
      <c r="E815" s="468" t="s">
        <v>3119</v>
      </c>
      <c r="F815" s="474" t="s">
        <v>1029</v>
      </c>
      <c r="G815" s="477"/>
    </row>
    <row r="816" spans="1:7">
      <c r="A816" s="471" t="s">
        <v>3084</v>
      </c>
      <c r="B816" s="472" t="s">
        <v>3120</v>
      </c>
      <c r="C816" s="471" t="s">
        <v>3121</v>
      </c>
      <c r="D816" s="491"/>
      <c r="E816" s="468" t="s">
        <v>3122</v>
      </c>
      <c r="F816" s="474" t="s">
        <v>1029</v>
      </c>
      <c r="G816" s="477"/>
    </row>
    <row r="817" spans="1:7">
      <c r="A817" s="471" t="s">
        <v>3084</v>
      </c>
      <c r="B817" s="472" t="s">
        <v>3123</v>
      </c>
      <c r="C817" s="471" t="s">
        <v>3124</v>
      </c>
      <c r="D817" s="491"/>
      <c r="E817" s="468" t="s">
        <v>3125</v>
      </c>
      <c r="F817" s="474" t="s">
        <v>1029</v>
      </c>
      <c r="G817" s="477"/>
    </row>
    <row r="818" spans="1:7">
      <c r="A818" s="471" t="s">
        <v>3084</v>
      </c>
      <c r="B818" s="472" t="s">
        <v>3126</v>
      </c>
      <c r="C818" s="471" t="s">
        <v>3127</v>
      </c>
      <c r="D818" s="491"/>
      <c r="E818" s="468" t="s">
        <v>3128</v>
      </c>
      <c r="F818" s="474" t="s">
        <v>1029</v>
      </c>
      <c r="G818" s="477"/>
    </row>
    <row r="819" spans="1:7">
      <c r="A819" s="471" t="s">
        <v>3084</v>
      </c>
      <c r="B819" s="472" t="s">
        <v>3129</v>
      </c>
      <c r="C819" s="471" t="s">
        <v>3130</v>
      </c>
      <c r="D819" s="491"/>
      <c r="E819" s="468" t="s">
        <v>3131</v>
      </c>
      <c r="F819" s="474" t="s">
        <v>1029</v>
      </c>
      <c r="G819" s="477"/>
    </row>
    <row r="820" spans="1:7">
      <c r="A820" s="471" t="s">
        <v>3084</v>
      </c>
      <c r="B820" s="472" t="s">
        <v>3132</v>
      </c>
      <c r="C820" s="471" t="s">
        <v>3133</v>
      </c>
      <c r="D820" s="491"/>
      <c r="E820" s="468" t="s">
        <v>3134</v>
      </c>
      <c r="F820" s="474" t="s">
        <v>1029</v>
      </c>
      <c r="G820" s="477"/>
    </row>
    <row r="821" spans="1:7">
      <c r="A821" s="471" t="s">
        <v>3084</v>
      </c>
      <c r="B821" s="472" t="s">
        <v>3135</v>
      </c>
      <c r="C821" s="471" t="s">
        <v>3136</v>
      </c>
      <c r="D821" s="491"/>
      <c r="E821" s="468" t="s">
        <v>3137</v>
      </c>
      <c r="F821" s="474" t="s">
        <v>1029</v>
      </c>
      <c r="G821" s="477"/>
    </row>
    <row r="822" spans="1:7">
      <c r="A822" s="471" t="s">
        <v>3084</v>
      </c>
      <c r="B822" s="472" t="s">
        <v>3138</v>
      </c>
      <c r="C822" s="471" t="s">
        <v>3139</v>
      </c>
      <c r="D822" s="491"/>
      <c r="E822" s="468" t="s">
        <v>3140</v>
      </c>
      <c r="F822" s="474" t="s">
        <v>1029</v>
      </c>
      <c r="G822" s="477"/>
    </row>
    <row r="823" spans="1:7">
      <c r="A823" s="471" t="s">
        <v>3084</v>
      </c>
      <c r="B823" s="472" t="s">
        <v>3141</v>
      </c>
      <c r="C823" s="471" t="s">
        <v>3142</v>
      </c>
      <c r="D823" s="491"/>
      <c r="E823" s="468" t="s">
        <v>3143</v>
      </c>
      <c r="F823" s="474" t="s">
        <v>1029</v>
      </c>
      <c r="G823" s="477"/>
    </row>
    <row r="824" spans="1:7">
      <c r="A824" s="471" t="s">
        <v>3084</v>
      </c>
      <c r="B824" s="472" t="s">
        <v>3144</v>
      </c>
      <c r="C824" s="471" t="s">
        <v>3145</v>
      </c>
      <c r="D824" s="491"/>
      <c r="E824" s="468" t="s">
        <v>3146</v>
      </c>
      <c r="F824" s="474" t="s">
        <v>1029</v>
      </c>
      <c r="G824" s="477"/>
    </row>
    <row r="825" spans="1:7">
      <c r="A825" s="471" t="s">
        <v>3084</v>
      </c>
      <c r="B825" s="472" t="s">
        <v>3147</v>
      </c>
      <c r="C825" s="471" t="s">
        <v>3148</v>
      </c>
      <c r="D825" s="491"/>
      <c r="E825" s="468" t="s">
        <v>3149</v>
      </c>
      <c r="F825" s="474" t="s">
        <v>1029</v>
      </c>
      <c r="G825" s="477"/>
    </row>
    <row r="826" spans="1:7">
      <c r="A826" s="471" t="s">
        <v>3084</v>
      </c>
      <c r="B826" s="472" t="s">
        <v>3150</v>
      </c>
      <c r="C826" s="471" t="s">
        <v>3151</v>
      </c>
      <c r="D826" s="491"/>
      <c r="E826" s="468" t="s">
        <v>3152</v>
      </c>
      <c r="F826" s="474" t="s">
        <v>1029</v>
      </c>
      <c r="G826" s="477"/>
    </row>
    <row r="827" spans="1:7">
      <c r="A827" s="471" t="s">
        <v>3084</v>
      </c>
      <c r="B827" s="472" t="s">
        <v>3153</v>
      </c>
      <c r="C827" s="471" t="s">
        <v>3154</v>
      </c>
      <c r="D827" s="491"/>
      <c r="E827" s="468" t="s">
        <v>3155</v>
      </c>
      <c r="F827" s="474" t="s">
        <v>1029</v>
      </c>
      <c r="G827" s="477"/>
    </row>
    <row r="828" spans="1:7">
      <c r="A828" s="471" t="s">
        <v>3084</v>
      </c>
      <c r="B828" s="472" t="s">
        <v>3156</v>
      </c>
      <c r="C828" s="471" t="s">
        <v>3157</v>
      </c>
      <c r="D828" s="491"/>
      <c r="E828" s="468" t="s">
        <v>3158</v>
      </c>
      <c r="F828" s="474" t="s">
        <v>1029</v>
      </c>
      <c r="G828" s="477"/>
    </row>
    <row r="829" spans="1:7">
      <c r="A829" s="471" t="s">
        <v>3084</v>
      </c>
      <c r="B829" s="472" t="s">
        <v>3159</v>
      </c>
      <c r="C829" s="471" t="s">
        <v>3160</v>
      </c>
      <c r="D829" s="491"/>
      <c r="E829" s="468" t="s">
        <v>3161</v>
      </c>
      <c r="F829" s="474" t="s">
        <v>1029</v>
      </c>
      <c r="G829" s="477"/>
    </row>
    <row r="830" spans="1:7">
      <c r="A830" s="471" t="s">
        <v>3084</v>
      </c>
      <c r="B830" s="472" t="s">
        <v>3162</v>
      </c>
      <c r="C830" s="471" t="s">
        <v>3163</v>
      </c>
      <c r="D830" s="491"/>
      <c r="E830" s="468" t="s">
        <v>3164</v>
      </c>
      <c r="F830" s="474" t="s">
        <v>1029</v>
      </c>
      <c r="G830" s="477"/>
    </row>
    <row r="831" spans="1:7">
      <c r="A831" s="471" t="s">
        <v>3084</v>
      </c>
      <c r="B831" s="472" t="s">
        <v>3165</v>
      </c>
      <c r="C831" s="471" t="s">
        <v>3166</v>
      </c>
      <c r="D831" s="491"/>
      <c r="E831" s="468" t="s">
        <v>3167</v>
      </c>
      <c r="F831" s="474" t="s">
        <v>1029</v>
      </c>
      <c r="G831" s="477"/>
    </row>
    <row r="832" spans="1:7">
      <c r="A832" s="471" t="s">
        <v>3084</v>
      </c>
      <c r="B832" s="472" t="s">
        <v>3168</v>
      </c>
      <c r="C832" s="471" t="s">
        <v>3169</v>
      </c>
      <c r="D832" s="491"/>
      <c r="E832" s="468" t="s">
        <v>3170</v>
      </c>
      <c r="F832" s="474" t="s">
        <v>1029</v>
      </c>
      <c r="G832" s="477"/>
    </row>
    <row r="833" spans="1:7">
      <c r="A833" s="471" t="s">
        <v>3084</v>
      </c>
      <c r="B833" s="472" t="s">
        <v>3171</v>
      </c>
      <c r="C833" s="471" t="s">
        <v>3172</v>
      </c>
      <c r="D833" s="491"/>
      <c r="E833" s="468" t="s">
        <v>3173</v>
      </c>
      <c r="F833" s="474" t="s">
        <v>1029</v>
      </c>
      <c r="G833" s="477"/>
    </row>
    <row r="834" spans="1:7">
      <c r="A834" s="471" t="s">
        <v>3084</v>
      </c>
      <c r="B834" s="472" t="s">
        <v>3174</v>
      </c>
      <c r="C834" s="471" t="s">
        <v>3175</v>
      </c>
      <c r="D834" s="491"/>
      <c r="E834" s="468" t="s">
        <v>3176</v>
      </c>
      <c r="F834" s="474" t="s">
        <v>1029</v>
      </c>
      <c r="G834" s="477"/>
    </row>
    <row r="835" spans="1:7">
      <c r="A835" s="471" t="s">
        <v>3084</v>
      </c>
      <c r="B835" s="472" t="s">
        <v>1061</v>
      </c>
      <c r="C835" s="471" t="s">
        <v>1062</v>
      </c>
      <c r="D835" s="491"/>
      <c r="E835" s="468" t="s">
        <v>3177</v>
      </c>
      <c r="F835" s="476" t="s">
        <v>1029</v>
      </c>
      <c r="G835" s="477"/>
    </row>
    <row r="836" spans="1:7">
      <c r="A836" s="466" t="s">
        <v>3084</v>
      </c>
      <c r="B836" s="467"/>
      <c r="C836" s="467" t="s">
        <v>1022</v>
      </c>
      <c r="D836" s="463"/>
      <c r="E836" s="468" t="s">
        <v>3178</v>
      </c>
      <c r="F836" s="469"/>
      <c r="G836" s="470"/>
    </row>
    <row r="837" spans="1:7">
      <c r="A837" s="471" t="s">
        <v>3179</v>
      </c>
      <c r="B837" s="472" t="s">
        <v>1030</v>
      </c>
      <c r="C837" s="471" t="s">
        <v>1031</v>
      </c>
      <c r="D837" s="491"/>
      <c r="E837" s="468" t="s">
        <v>3180</v>
      </c>
      <c r="F837" s="476" t="s">
        <v>1029</v>
      </c>
      <c r="G837" s="477"/>
    </row>
    <row r="838" spans="1:7">
      <c r="A838" s="471" t="s">
        <v>3179</v>
      </c>
      <c r="B838" s="472" t="s">
        <v>3181</v>
      </c>
      <c r="C838" s="471" t="s">
        <v>3182</v>
      </c>
      <c r="D838" s="491"/>
      <c r="E838" s="468" t="s">
        <v>3183</v>
      </c>
      <c r="F838" s="474" t="s">
        <v>1029</v>
      </c>
      <c r="G838" s="477"/>
    </row>
    <row r="839" spans="1:7">
      <c r="A839" s="471" t="s">
        <v>3179</v>
      </c>
      <c r="B839" s="472" t="s">
        <v>1061</v>
      </c>
      <c r="C839" s="471" t="s">
        <v>1062</v>
      </c>
      <c r="D839" s="473" t="s">
        <v>1027</v>
      </c>
      <c r="E839" s="468" t="s">
        <v>3184</v>
      </c>
      <c r="F839" s="476" t="s">
        <v>1029</v>
      </c>
      <c r="G839" s="477"/>
    </row>
    <row r="840" spans="1:7">
      <c r="A840" s="492" t="s">
        <v>3179</v>
      </c>
      <c r="B840" s="493"/>
      <c r="C840" s="467" t="s">
        <v>1022</v>
      </c>
      <c r="D840" s="463"/>
      <c r="E840" s="468" t="s">
        <v>3185</v>
      </c>
      <c r="F840" s="469"/>
      <c r="G840" s="470"/>
    </row>
    <row r="841" spans="1:7">
      <c r="A841" s="471" t="s">
        <v>3186</v>
      </c>
      <c r="B841" s="472" t="s">
        <v>1030</v>
      </c>
      <c r="C841" s="471" t="s">
        <v>1031</v>
      </c>
      <c r="D841" s="491"/>
      <c r="E841" s="468" t="s">
        <v>3187</v>
      </c>
      <c r="F841" s="476" t="s">
        <v>1029</v>
      </c>
      <c r="G841" s="477"/>
    </row>
    <row r="842" spans="1:7">
      <c r="A842" s="471" t="s">
        <v>3186</v>
      </c>
      <c r="B842" s="472" t="s">
        <v>3188</v>
      </c>
      <c r="C842" s="471" t="s">
        <v>3189</v>
      </c>
      <c r="D842" s="491"/>
      <c r="E842" s="468" t="s">
        <v>3190</v>
      </c>
      <c r="F842" s="474" t="s">
        <v>1029</v>
      </c>
      <c r="G842" s="477"/>
    </row>
    <row r="843" spans="1:7">
      <c r="A843" s="471" t="s">
        <v>3186</v>
      </c>
      <c r="B843" s="472" t="s">
        <v>1061</v>
      </c>
      <c r="C843" s="471" t="s">
        <v>1062</v>
      </c>
      <c r="D843" s="473" t="s">
        <v>1027</v>
      </c>
      <c r="E843" s="468" t="s">
        <v>3191</v>
      </c>
      <c r="F843" s="476" t="s">
        <v>1029</v>
      </c>
      <c r="G843" s="477"/>
    </row>
    <row r="844" spans="1:7">
      <c r="A844" s="466" t="s">
        <v>3186</v>
      </c>
      <c r="B844" s="467"/>
      <c r="C844" s="467" t="s">
        <v>1022</v>
      </c>
      <c r="D844" s="463"/>
      <c r="E844" s="468" t="s">
        <v>3192</v>
      </c>
      <c r="F844" s="469"/>
      <c r="G844" s="470"/>
    </row>
    <row r="845" spans="1:7">
      <c r="A845" s="492" t="s">
        <v>3193</v>
      </c>
      <c r="B845" s="493"/>
      <c r="C845" s="467" t="s">
        <v>1022</v>
      </c>
      <c r="D845" s="463"/>
      <c r="E845" s="468" t="s">
        <v>3194</v>
      </c>
      <c r="F845" s="469"/>
      <c r="G845" s="470"/>
    </row>
    <row r="846" spans="1:7">
      <c r="A846" s="471" t="s">
        <v>3193</v>
      </c>
      <c r="B846" s="472" t="s">
        <v>2654</v>
      </c>
      <c r="C846" s="471" t="s">
        <v>2655</v>
      </c>
      <c r="D846" s="473" t="s">
        <v>1027</v>
      </c>
      <c r="E846" s="468" t="s">
        <v>3195</v>
      </c>
      <c r="F846" s="475" t="s">
        <v>439</v>
      </c>
      <c r="G846" s="477"/>
    </row>
    <row r="847" spans="1:7">
      <c r="A847" s="471" t="s">
        <v>3193</v>
      </c>
      <c r="B847" s="472" t="s">
        <v>2441</v>
      </c>
      <c r="C847" s="471" t="s">
        <v>2442</v>
      </c>
      <c r="D847" s="473" t="s">
        <v>1027</v>
      </c>
      <c r="E847" s="468" t="s">
        <v>3196</v>
      </c>
      <c r="F847" s="469" t="s">
        <v>439</v>
      </c>
      <c r="G847" s="477"/>
    </row>
    <row r="848" spans="1:7">
      <c r="A848" s="471" t="s">
        <v>3193</v>
      </c>
      <c r="B848" s="472" t="s">
        <v>3197</v>
      </c>
      <c r="C848" s="471" t="s">
        <v>3198</v>
      </c>
      <c r="D848" s="473" t="s">
        <v>1027</v>
      </c>
      <c r="E848" s="468" t="s">
        <v>3199</v>
      </c>
      <c r="F848" s="479" t="s">
        <v>1029</v>
      </c>
      <c r="G848" s="477"/>
    </row>
    <row r="849" spans="1:7">
      <c r="A849" s="471" t="s">
        <v>3193</v>
      </c>
      <c r="B849" s="472" t="s">
        <v>3200</v>
      </c>
      <c r="C849" s="471" t="s">
        <v>3201</v>
      </c>
      <c r="D849" s="473" t="s">
        <v>1027</v>
      </c>
      <c r="E849" s="468" t="s">
        <v>3202</v>
      </c>
      <c r="F849" s="476" t="s">
        <v>1029</v>
      </c>
      <c r="G849" s="477"/>
    </row>
    <row r="850" spans="1:7">
      <c r="A850" s="471" t="s">
        <v>3193</v>
      </c>
      <c r="B850" s="472" t="s">
        <v>3203</v>
      </c>
      <c r="C850" s="471" t="s">
        <v>3204</v>
      </c>
      <c r="D850" s="473" t="s">
        <v>1027</v>
      </c>
      <c r="E850" s="468" t="s">
        <v>3205</v>
      </c>
      <c r="F850" s="476" t="s">
        <v>1029</v>
      </c>
      <c r="G850" s="477"/>
    </row>
    <row r="851" spans="1:7">
      <c r="A851" s="471" t="s">
        <v>3193</v>
      </c>
      <c r="B851" s="472" t="s">
        <v>3206</v>
      </c>
      <c r="C851" s="471" t="s">
        <v>3207</v>
      </c>
      <c r="D851" s="473" t="s">
        <v>1027</v>
      </c>
      <c r="E851" s="468" t="s">
        <v>3208</v>
      </c>
      <c r="F851" s="475" t="s">
        <v>439</v>
      </c>
      <c r="G851" s="477"/>
    </row>
    <row r="852" spans="1:7">
      <c r="A852" s="471" t="s">
        <v>3193</v>
      </c>
      <c r="B852" s="472" t="s">
        <v>2441</v>
      </c>
      <c r="C852" s="471" t="s">
        <v>3209</v>
      </c>
      <c r="D852" s="473" t="s">
        <v>1027</v>
      </c>
      <c r="E852" s="468" t="s">
        <v>3210</v>
      </c>
      <c r="F852" s="476" t="s">
        <v>1029</v>
      </c>
      <c r="G852" s="477"/>
    </row>
    <row r="853" spans="1:7">
      <c r="A853" s="471" t="s">
        <v>3193</v>
      </c>
      <c r="B853" s="472" t="s">
        <v>3211</v>
      </c>
      <c r="C853" s="471" t="s">
        <v>3212</v>
      </c>
      <c r="D853" s="473" t="s">
        <v>1027</v>
      </c>
      <c r="E853" s="468" t="s">
        <v>3213</v>
      </c>
      <c r="F853" s="479" t="s">
        <v>1029</v>
      </c>
      <c r="G853" s="477"/>
    </row>
    <row r="854" spans="1:7">
      <c r="A854" s="471" t="s">
        <v>3193</v>
      </c>
      <c r="B854" s="472" t="s">
        <v>3214</v>
      </c>
      <c r="C854" s="471" t="s">
        <v>3215</v>
      </c>
      <c r="D854" s="473" t="s">
        <v>1027</v>
      </c>
      <c r="E854" s="468" t="s">
        <v>3216</v>
      </c>
      <c r="F854" s="475" t="s">
        <v>439</v>
      </c>
      <c r="G854" s="477"/>
    </row>
    <row r="855" spans="1:7">
      <c r="A855" s="471" t="s">
        <v>3193</v>
      </c>
      <c r="B855" s="472" t="s">
        <v>2658</v>
      </c>
      <c r="C855" s="471" t="s">
        <v>2659</v>
      </c>
      <c r="D855" s="473" t="s">
        <v>1027</v>
      </c>
      <c r="E855" s="468" t="s">
        <v>3217</v>
      </c>
      <c r="F855" s="476" t="s">
        <v>1029</v>
      </c>
      <c r="G855" s="477"/>
    </row>
    <row r="856" spans="1:7">
      <c r="A856" s="471" t="s">
        <v>3193</v>
      </c>
      <c r="B856" s="472" t="s">
        <v>2661</v>
      </c>
      <c r="C856" s="471" t="s">
        <v>2662</v>
      </c>
      <c r="D856" s="473" t="s">
        <v>1027</v>
      </c>
      <c r="E856" s="468" t="s">
        <v>3218</v>
      </c>
      <c r="F856" s="476" t="s">
        <v>1029</v>
      </c>
      <c r="G856" s="477"/>
    </row>
    <row r="857" spans="1:7">
      <c r="A857" s="471" t="s">
        <v>3193</v>
      </c>
      <c r="B857" s="472" t="s">
        <v>3219</v>
      </c>
      <c r="C857" s="471" t="s">
        <v>3220</v>
      </c>
      <c r="D857" s="473" t="s">
        <v>1027</v>
      </c>
      <c r="E857" s="468" t="s">
        <v>3221</v>
      </c>
      <c r="F857" s="475" t="s">
        <v>439</v>
      </c>
      <c r="G857" s="477"/>
    </row>
    <row r="858" spans="1:7">
      <c r="A858" s="471" t="s">
        <v>3193</v>
      </c>
      <c r="B858" s="472" t="s">
        <v>3092</v>
      </c>
      <c r="C858" s="471" t="s">
        <v>3222</v>
      </c>
      <c r="D858" s="473" t="s">
        <v>1027</v>
      </c>
      <c r="E858" s="468" t="s">
        <v>3223</v>
      </c>
      <c r="F858" s="476" t="s">
        <v>1029</v>
      </c>
      <c r="G858" s="477"/>
    </row>
    <row r="859" spans="1:7">
      <c r="A859" s="471" t="s">
        <v>3193</v>
      </c>
      <c r="B859" s="472" t="s">
        <v>2664</v>
      </c>
      <c r="C859" s="471" t="s">
        <v>2665</v>
      </c>
      <c r="D859" s="473" t="s">
        <v>1027</v>
      </c>
      <c r="E859" s="468" t="s">
        <v>3224</v>
      </c>
      <c r="F859" s="476" t="s">
        <v>1029</v>
      </c>
      <c r="G859" s="477"/>
    </row>
    <row r="860" spans="1:7">
      <c r="A860" s="471" t="s">
        <v>3193</v>
      </c>
      <c r="B860" s="472" t="s">
        <v>3225</v>
      </c>
      <c r="C860" s="471" t="s">
        <v>3226</v>
      </c>
      <c r="D860" s="473" t="s">
        <v>1027</v>
      </c>
      <c r="E860" s="468" t="s">
        <v>3227</v>
      </c>
      <c r="F860" s="476" t="s">
        <v>1029</v>
      </c>
      <c r="G860" s="477"/>
    </row>
    <row r="861" spans="1:7">
      <c r="A861" s="471" t="s">
        <v>3193</v>
      </c>
      <c r="B861" s="472" t="s">
        <v>3228</v>
      </c>
      <c r="C861" s="471" t="s">
        <v>3229</v>
      </c>
      <c r="D861" s="473" t="s">
        <v>1027</v>
      </c>
      <c r="E861" s="468" t="s">
        <v>3230</v>
      </c>
      <c r="F861" s="476" t="s">
        <v>1029</v>
      </c>
      <c r="G861" s="477"/>
    </row>
    <row r="862" spans="1:7">
      <c r="A862" s="471" t="s">
        <v>3193</v>
      </c>
      <c r="B862" s="472" t="s">
        <v>3231</v>
      </c>
      <c r="C862" s="471" t="s">
        <v>3232</v>
      </c>
      <c r="D862" s="473" t="s">
        <v>1027</v>
      </c>
      <c r="E862" s="468" t="s">
        <v>3233</v>
      </c>
      <c r="F862" s="476" t="s">
        <v>1029</v>
      </c>
      <c r="G862" s="477"/>
    </row>
    <row r="863" spans="1:7">
      <c r="A863" s="471" t="s">
        <v>3193</v>
      </c>
      <c r="B863" s="472" t="s">
        <v>2441</v>
      </c>
      <c r="C863" s="471" t="s">
        <v>3234</v>
      </c>
      <c r="D863" s="473" t="s">
        <v>1027</v>
      </c>
      <c r="E863" s="468" t="s">
        <v>3235</v>
      </c>
      <c r="F863" s="476" t="s">
        <v>1029</v>
      </c>
      <c r="G863" s="477"/>
    </row>
    <row r="864" spans="1:7">
      <c r="A864" s="471" t="s">
        <v>3193</v>
      </c>
      <c r="B864" s="472" t="s">
        <v>3236</v>
      </c>
      <c r="C864" s="471" t="s">
        <v>3237</v>
      </c>
      <c r="D864" s="473" t="s">
        <v>1027</v>
      </c>
      <c r="E864" s="468" t="s">
        <v>3238</v>
      </c>
      <c r="F864" s="479" t="s">
        <v>1029</v>
      </c>
      <c r="G864" s="477"/>
    </row>
    <row r="865" spans="1:7">
      <c r="A865" s="471" t="s">
        <v>3193</v>
      </c>
      <c r="B865" s="472" t="s">
        <v>3239</v>
      </c>
      <c r="C865" s="471" t="s">
        <v>3240</v>
      </c>
      <c r="D865" s="473" t="s">
        <v>1027</v>
      </c>
      <c r="E865" s="468" t="s">
        <v>3241</v>
      </c>
      <c r="F865" s="476" t="s">
        <v>1029</v>
      </c>
      <c r="G865" s="477"/>
    </row>
    <row r="866" spans="1:7">
      <c r="A866" s="471" t="s">
        <v>3193</v>
      </c>
      <c r="B866" s="472" t="s">
        <v>3242</v>
      </c>
      <c r="C866" s="471" t="s">
        <v>3243</v>
      </c>
      <c r="D866" s="473" t="s">
        <v>1027</v>
      </c>
      <c r="E866" s="468" t="s">
        <v>3244</v>
      </c>
      <c r="F866" s="476" t="s">
        <v>1029</v>
      </c>
      <c r="G866" s="477"/>
    </row>
    <row r="867" spans="1:7">
      <c r="A867" s="471" t="s">
        <v>3193</v>
      </c>
      <c r="B867" s="472" t="s">
        <v>3245</v>
      </c>
      <c r="C867" s="471" t="s">
        <v>3246</v>
      </c>
      <c r="D867" s="473" t="s">
        <v>1027</v>
      </c>
      <c r="E867" s="468" t="s">
        <v>3247</v>
      </c>
      <c r="F867" s="475" t="s">
        <v>439</v>
      </c>
      <c r="G867" s="477"/>
    </row>
    <row r="868" spans="1:7">
      <c r="A868" s="471" t="s">
        <v>3193</v>
      </c>
      <c r="B868" s="472" t="s">
        <v>3248</v>
      </c>
      <c r="C868" s="471" t="s">
        <v>3249</v>
      </c>
      <c r="D868" s="473" t="s">
        <v>1027</v>
      </c>
      <c r="E868" s="468" t="s">
        <v>3250</v>
      </c>
      <c r="F868" s="476" t="s">
        <v>1029</v>
      </c>
      <c r="G868" s="477"/>
    </row>
    <row r="869" spans="1:7">
      <c r="A869" s="471" t="s">
        <v>3193</v>
      </c>
      <c r="B869" s="472" t="s">
        <v>2441</v>
      </c>
      <c r="C869" s="471" t="s">
        <v>3251</v>
      </c>
      <c r="D869" s="473" t="s">
        <v>1027</v>
      </c>
      <c r="E869" s="468" t="s">
        <v>3252</v>
      </c>
      <c r="F869" s="476" t="s">
        <v>1029</v>
      </c>
      <c r="G869" s="477"/>
    </row>
    <row r="870" spans="1:7">
      <c r="A870" s="471" t="s">
        <v>3193</v>
      </c>
      <c r="B870" s="472" t="s">
        <v>3253</v>
      </c>
      <c r="C870" s="471" t="s">
        <v>3254</v>
      </c>
      <c r="D870" s="473" t="s">
        <v>1027</v>
      </c>
      <c r="E870" s="468" t="s">
        <v>3255</v>
      </c>
      <c r="F870" s="479" t="s">
        <v>1029</v>
      </c>
      <c r="G870" s="477"/>
    </row>
    <row r="871" spans="1:7">
      <c r="A871" s="471" t="s">
        <v>3193</v>
      </c>
      <c r="B871" s="472" t="s">
        <v>3239</v>
      </c>
      <c r="C871" s="471" t="s">
        <v>3256</v>
      </c>
      <c r="D871" s="473" t="s">
        <v>1027</v>
      </c>
      <c r="E871" s="468" t="s">
        <v>3257</v>
      </c>
      <c r="F871" s="476" t="s">
        <v>1029</v>
      </c>
      <c r="G871" s="477"/>
    </row>
    <row r="872" spans="1:7">
      <c r="A872" s="471" t="s">
        <v>3193</v>
      </c>
      <c r="B872" s="472" t="s">
        <v>3258</v>
      </c>
      <c r="C872" s="471" t="s">
        <v>3259</v>
      </c>
      <c r="D872" s="473" t="s">
        <v>1027</v>
      </c>
      <c r="E872" s="468" t="s">
        <v>3260</v>
      </c>
      <c r="F872" s="476" t="s">
        <v>1029</v>
      </c>
      <c r="G872" s="477"/>
    </row>
    <row r="873" spans="1:7">
      <c r="A873" s="471" t="s">
        <v>3193</v>
      </c>
      <c r="B873" s="472" t="s">
        <v>3261</v>
      </c>
      <c r="C873" s="471" t="s">
        <v>3262</v>
      </c>
      <c r="D873" s="473" t="s">
        <v>1027</v>
      </c>
      <c r="E873" s="468" t="s">
        <v>3263</v>
      </c>
      <c r="F873" s="476" t="s">
        <v>1029</v>
      </c>
      <c r="G873" s="477"/>
    </row>
    <row r="874" spans="1:7">
      <c r="A874" s="471" t="s">
        <v>3193</v>
      </c>
      <c r="B874" s="472" t="s">
        <v>2441</v>
      </c>
      <c r="C874" s="471" t="s">
        <v>3264</v>
      </c>
      <c r="D874" s="473" t="s">
        <v>1027</v>
      </c>
      <c r="E874" s="468" t="s">
        <v>3265</v>
      </c>
      <c r="F874" s="476" t="s">
        <v>1029</v>
      </c>
      <c r="G874" s="477"/>
    </row>
    <row r="875" spans="1:7">
      <c r="A875" s="471" t="s">
        <v>3193</v>
      </c>
      <c r="B875" s="472" t="s">
        <v>3266</v>
      </c>
      <c r="C875" s="471" t="s">
        <v>3267</v>
      </c>
      <c r="D875" s="473" t="s">
        <v>1027</v>
      </c>
      <c r="E875" s="468" t="s">
        <v>3268</v>
      </c>
      <c r="F875" s="479" t="s">
        <v>1029</v>
      </c>
      <c r="G875" s="477"/>
    </row>
    <row r="876" spans="1:7">
      <c r="A876" s="471" t="s">
        <v>3193</v>
      </c>
      <c r="B876" s="472" t="s">
        <v>3269</v>
      </c>
      <c r="C876" s="471" t="s">
        <v>3270</v>
      </c>
      <c r="D876" s="473" t="s">
        <v>1027</v>
      </c>
      <c r="E876" s="468" t="s">
        <v>3271</v>
      </c>
      <c r="F876" s="476" t="s">
        <v>1029</v>
      </c>
      <c r="G876" s="477"/>
    </row>
    <row r="877" spans="1:7">
      <c r="A877" s="471" t="s">
        <v>3193</v>
      </c>
      <c r="B877" s="472" t="s">
        <v>3272</v>
      </c>
      <c r="C877" s="471" t="s">
        <v>3273</v>
      </c>
      <c r="D877" s="473" t="s">
        <v>1027</v>
      </c>
      <c r="E877" s="468" t="s">
        <v>3274</v>
      </c>
      <c r="F877" s="475" t="s">
        <v>439</v>
      </c>
      <c r="G877" s="477"/>
    </row>
    <row r="878" spans="1:7">
      <c r="A878" s="471" t="s">
        <v>3193</v>
      </c>
      <c r="B878" s="472" t="s">
        <v>1025</v>
      </c>
      <c r="C878" s="471" t="s">
        <v>1026</v>
      </c>
      <c r="D878" s="473" t="s">
        <v>1027</v>
      </c>
      <c r="E878" s="468" t="s">
        <v>3275</v>
      </c>
      <c r="F878" s="474" t="s">
        <v>1029</v>
      </c>
      <c r="G878" s="477"/>
    </row>
    <row r="879" spans="1:7">
      <c r="A879" s="471" t="s">
        <v>3193</v>
      </c>
      <c r="B879" s="472" t="s">
        <v>1030</v>
      </c>
      <c r="C879" s="471" t="s">
        <v>1031</v>
      </c>
      <c r="D879" s="473" t="s">
        <v>1027</v>
      </c>
      <c r="E879" s="468" t="s">
        <v>3276</v>
      </c>
      <c r="F879" s="474" t="s">
        <v>497</v>
      </c>
      <c r="G879" s="11" t="s">
        <v>3277</v>
      </c>
    </row>
    <row r="880" spans="1:7">
      <c r="A880" s="471" t="s">
        <v>3193</v>
      </c>
      <c r="B880" s="472" t="s">
        <v>1377</v>
      </c>
      <c r="C880" s="471" t="s">
        <v>1378</v>
      </c>
      <c r="D880" s="473" t="s">
        <v>1027</v>
      </c>
      <c r="E880" s="468" t="s">
        <v>3278</v>
      </c>
      <c r="F880" s="475" t="s">
        <v>221</v>
      </c>
      <c r="G880" s="475" t="s">
        <v>1380</v>
      </c>
    </row>
    <row r="881" spans="1:7">
      <c r="A881" s="471" t="s">
        <v>3193</v>
      </c>
      <c r="B881" s="472" t="s">
        <v>3279</v>
      </c>
      <c r="C881" s="471" t="s">
        <v>3280</v>
      </c>
      <c r="D881" s="473" t="s">
        <v>1027</v>
      </c>
      <c r="E881" s="468" t="s">
        <v>3281</v>
      </c>
      <c r="F881" s="475" t="s">
        <v>439</v>
      </c>
      <c r="G881" s="477"/>
    </row>
    <row r="882" spans="1:7">
      <c r="A882" s="471" t="s">
        <v>3193</v>
      </c>
      <c r="B882" s="472" t="s">
        <v>3282</v>
      </c>
      <c r="C882" s="471" t="s">
        <v>3283</v>
      </c>
      <c r="D882" s="473" t="s">
        <v>1027</v>
      </c>
      <c r="E882" s="468" t="s">
        <v>3284</v>
      </c>
      <c r="F882" s="475" t="s">
        <v>439</v>
      </c>
      <c r="G882" s="477"/>
    </row>
    <row r="883" spans="1:7">
      <c r="A883" s="471" t="s">
        <v>3193</v>
      </c>
      <c r="B883" s="472" t="s">
        <v>3285</v>
      </c>
      <c r="C883" s="471" t="s">
        <v>3286</v>
      </c>
      <c r="D883" s="473" t="s">
        <v>1027</v>
      </c>
      <c r="E883" s="468" t="s">
        <v>3287</v>
      </c>
      <c r="F883" s="475" t="s">
        <v>439</v>
      </c>
      <c r="G883" s="477"/>
    </row>
    <row r="884" spans="1:7">
      <c r="A884" s="471" t="s">
        <v>3193</v>
      </c>
      <c r="B884" s="472" t="s">
        <v>3288</v>
      </c>
      <c r="C884" s="471" t="s">
        <v>3289</v>
      </c>
      <c r="D884" s="473" t="s">
        <v>1027</v>
      </c>
      <c r="E884" s="468" t="s">
        <v>3290</v>
      </c>
      <c r="F884" s="475" t="s">
        <v>439</v>
      </c>
      <c r="G884" s="477"/>
    </row>
    <row r="885" spans="1:7">
      <c r="A885" s="471" t="s">
        <v>3193</v>
      </c>
      <c r="B885" s="472" t="s">
        <v>2075</v>
      </c>
      <c r="C885" s="471" t="s">
        <v>2076</v>
      </c>
      <c r="D885" s="473" t="s">
        <v>1027</v>
      </c>
      <c r="E885" s="468" t="s">
        <v>3291</v>
      </c>
      <c r="F885" s="475" t="s">
        <v>439</v>
      </c>
      <c r="G885" s="477"/>
    </row>
    <row r="886" spans="1:7">
      <c r="A886" s="471" t="s">
        <v>3193</v>
      </c>
      <c r="B886" s="472" t="s">
        <v>3292</v>
      </c>
      <c r="C886" s="471" t="s">
        <v>3293</v>
      </c>
      <c r="D886" s="473" t="s">
        <v>1027</v>
      </c>
      <c r="E886" s="468" t="s">
        <v>3294</v>
      </c>
      <c r="F886" s="475" t="s">
        <v>439</v>
      </c>
      <c r="G886" s="477"/>
    </row>
    <row r="887" spans="1:7">
      <c r="A887" s="471" t="s">
        <v>3193</v>
      </c>
      <c r="B887" s="472" t="s">
        <v>3295</v>
      </c>
      <c r="C887" s="471" t="s">
        <v>3296</v>
      </c>
      <c r="D887" s="473" t="s">
        <v>1027</v>
      </c>
      <c r="E887" s="468" t="s">
        <v>3297</v>
      </c>
      <c r="F887" s="479" t="s">
        <v>1029</v>
      </c>
      <c r="G887" s="477"/>
    </row>
    <row r="888" spans="1:7">
      <c r="A888" s="471" t="s">
        <v>3193</v>
      </c>
      <c r="B888" s="472" t="s">
        <v>3298</v>
      </c>
      <c r="C888" s="471" t="s">
        <v>3299</v>
      </c>
      <c r="D888" s="473" t="s">
        <v>1027</v>
      </c>
      <c r="E888" s="468" t="s">
        <v>3300</v>
      </c>
      <c r="F888" s="475" t="s">
        <v>566</v>
      </c>
      <c r="G888" s="477"/>
    </row>
    <row r="889" spans="1:7">
      <c r="A889" s="471" t="s">
        <v>3193</v>
      </c>
      <c r="B889" s="472" t="s">
        <v>3301</v>
      </c>
      <c r="C889" s="471" t="s">
        <v>3302</v>
      </c>
      <c r="D889" s="473" t="s">
        <v>1027</v>
      </c>
      <c r="E889" s="468" t="s">
        <v>3303</v>
      </c>
      <c r="F889" s="475" t="s">
        <v>439</v>
      </c>
      <c r="G889" s="477"/>
    </row>
    <row r="890" spans="1:7">
      <c r="A890" s="471" t="s">
        <v>3193</v>
      </c>
      <c r="B890" s="472" t="s">
        <v>3304</v>
      </c>
      <c r="C890" s="471" t="s">
        <v>3305</v>
      </c>
      <c r="D890" s="473" t="s">
        <v>1027</v>
      </c>
      <c r="E890" s="468" t="s">
        <v>3306</v>
      </c>
      <c r="F890" s="475" t="s">
        <v>439</v>
      </c>
      <c r="G890" s="477"/>
    </row>
    <row r="891" spans="1:7">
      <c r="A891" s="471" t="s">
        <v>3193</v>
      </c>
      <c r="B891" s="472" t="s">
        <v>2081</v>
      </c>
      <c r="C891" s="471" t="s">
        <v>2082</v>
      </c>
      <c r="D891" s="473" t="s">
        <v>1027</v>
      </c>
      <c r="E891" s="468" t="s">
        <v>3307</v>
      </c>
      <c r="F891" s="475" t="s">
        <v>439</v>
      </c>
      <c r="G891" s="477"/>
    </row>
    <row r="892" spans="1:7">
      <c r="A892" s="471" t="s">
        <v>3193</v>
      </c>
      <c r="B892" s="472" t="s">
        <v>3308</v>
      </c>
      <c r="C892" s="471" t="s">
        <v>3309</v>
      </c>
      <c r="D892" s="473" t="s">
        <v>1027</v>
      </c>
      <c r="E892" s="468" t="s">
        <v>3310</v>
      </c>
      <c r="F892" s="475" t="s">
        <v>439</v>
      </c>
      <c r="G892" s="477"/>
    </row>
    <row r="893" spans="1:7">
      <c r="A893" s="471" t="s">
        <v>3193</v>
      </c>
      <c r="B893" s="472" t="s">
        <v>2091</v>
      </c>
      <c r="C893" s="471" t="s">
        <v>2092</v>
      </c>
      <c r="D893" s="473" t="s">
        <v>1027</v>
      </c>
      <c r="E893" s="468" t="s">
        <v>3311</v>
      </c>
      <c r="F893" s="475" t="s">
        <v>602</v>
      </c>
      <c r="G893" s="477"/>
    </row>
    <row r="894" spans="1:7">
      <c r="A894" s="471" t="s">
        <v>3193</v>
      </c>
      <c r="B894" s="472" t="s">
        <v>3312</v>
      </c>
      <c r="C894" s="471" t="s">
        <v>3313</v>
      </c>
      <c r="D894" s="473" t="s">
        <v>1027</v>
      </c>
      <c r="E894" s="468" t="s">
        <v>3314</v>
      </c>
      <c r="F894" s="479" t="s">
        <v>1029</v>
      </c>
      <c r="G894" s="477"/>
    </row>
    <row r="895" spans="1:7">
      <c r="A895" s="471" t="s">
        <v>3193</v>
      </c>
      <c r="B895" s="472" t="s">
        <v>3315</v>
      </c>
      <c r="C895" s="471" t="s">
        <v>3316</v>
      </c>
      <c r="D895" s="473" t="s">
        <v>1027</v>
      </c>
      <c r="E895" s="468" t="s">
        <v>3317</v>
      </c>
      <c r="F895" s="475" t="s">
        <v>408</v>
      </c>
      <c r="G895" s="477"/>
    </row>
    <row r="896" spans="1:7">
      <c r="A896" s="471" t="s">
        <v>3193</v>
      </c>
      <c r="B896" s="472" t="s">
        <v>3318</v>
      </c>
      <c r="C896" s="471" t="s">
        <v>3319</v>
      </c>
      <c r="D896" s="473" t="s">
        <v>1027</v>
      </c>
      <c r="E896" s="468" t="s">
        <v>3320</v>
      </c>
      <c r="F896" s="475" t="s">
        <v>439</v>
      </c>
      <c r="G896" s="477"/>
    </row>
    <row r="897" spans="1:7">
      <c r="A897" s="471" t="s">
        <v>3193</v>
      </c>
      <c r="B897" s="472" t="s">
        <v>3321</v>
      </c>
      <c r="C897" s="471" t="s">
        <v>3322</v>
      </c>
      <c r="D897" s="473" t="s">
        <v>1027</v>
      </c>
      <c r="E897" s="468" t="s">
        <v>3323</v>
      </c>
      <c r="F897" s="475" t="s">
        <v>439</v>
      </c>
      <c r="G897" s="477"/>
    </row>
    <row r="898" spans="1:7">
      <c r="A898" s="471" t="s">
        <v>3193</v>
      </c>
      <c r="B898" s="472" t="s">
        <v>3324</v>
      </c>
      <c r="C898" s="471" t="s">
        <v>3325</v>
      </c>
      <c r="D898" s="473" t="s">
        <v>1027</v>
      </c>
      <c r="E898" s="468" t="s">
        <v>3326</v>
      </c>
      <c r="F898" s="475" t="s">
        <v>439</v>
      </c>
      <c r="G898" s="477"/>
    </row>
    <row r="899" spans="1:7">
      <c r="A899" s="471" t="s">
        <v>3193</v>
      </c>
      <c r="B899" s="472" t="s">
        <v>3327</v>
      </c>
      <c r="C899" s="471" t="s">
        <v>3328</v>
      </c>
      <c r="D899" s="473" t="s">
        <v>1027</v>
      </c>
      <c r="E899" s="468" t="s">
        <v>3329</v>
      </c>
      <c r="F899" s="475" t="s">
        <v>439</v>
      </c>
      <c r="G899" s="477"/>
    </row>
    <row r="900" spans="1:7">
      <c r="A900" s="471" t="s">
        <v>3193</v>
      </c>
      <c r="B900" s="472" t="s">
        <v>3330</v>
      </c>
      <c r="C900" s="471" t="s">
        <v>3331</v>
      </c>
      <c r="D900" s="473" t="s">
        <v>1027</v>
      </c>
      <c r="E900" s="468" t="s">
        <v>3332</v>
      </c>
      <c r="F900" s="475" t="s">
        <v>439</v>
      </c>
      <c r="G900" s="477"/>
    </row>
    <row r="901" spans="1:7">
      <c r="A901" s="471" t="s">
        <v>3193</v>
      </c>
      <c r="B901" s="472" t="s">
        <v>3333</v>
      </c>
      <c r="C901" s="471" t="s">
        <v>3334</v>
      </c>
      <c r="D901" s="473" t="s">
        <v>1027</v>
      </c>
      <c r="E901" s="468" t="s">
        <v>3335</v>
      </c>
      <c r="F901" s="475" t="s">
        <v>439</v>
      </c>
      <c r="G901" s="477"/>
    </row>
    <row r="902" spans="1:7">
      <c r="A902" s="471" t="s">
        <v>3193</v>
      </c>
      <c r="B902" s="472" t="s">
        <v>3336</v>
      </c>
      <c r="C902" s="471" t="s">
        <v>3337</v>
      </c>
      <c r="D902" s="473" t="s">
        <v>1027</v>
      </c>
      <c r="E902" s="468" t="s">
        <v>3338</v>
      </c>
      <c r="F902" s="475" t="s">
        <v>439</v>
      </c>
      <c r="G902" s="477"/>
    </row>
    <row r="903" spans="1:7">
      <c r="A903" s="471" t="s">
        <v>3193</v>
      </c>
      <c r="B903" s="472" t="s">
        <v>3339</v>
      </c>
      <c r="C903" s="471" t="s">
        <v>3340</v>
      </c>
      <c r="D903" s="491"/>
      <c r="E903" s="468" t="s">
        <v>3341</v>
      </c>
      <c r="F903" s="479" t="s">
        <v>1029</v>
      </c>
      <c r="G903" s="477"/>
    </row>
    <row r="904" spans="1:7">
      <c r="A904" s="471" t="s">
        <v>3193</v>
      </c>
      <c r="B904" s="472" t="s">
        <v>3315</v>
      </c>
      <c r="C904" s="471" t="s">
        <v>3342</v>
      </c>
      <c r="D904" s="473" t="s">
        <v>1027</v>
      </c>
      <c r="E904" s="468" t="s">
        <v>3343</v>
      </c>
      <c r="F904" s="475" t="s">
        <v>402</v>
      </c>
      <c r="G904" s="477"/>
    </row>
    <row r="905" spans="1:7">
      <c r="A905" s="471" t="s">
        <v>3193</v>
      </c>
      <c r="B905" s="472" t="s">
        <v>3344</v>
      </c>
      <c r="C905" s="471" t="s">
        <v>3345</v>
      </c>
      <c r="D905" s="473" t="s">
        <v>1027</v>
      </c>
      <c r="E905" s="468" t="s">
        <v>3346</v>
      </c>
      <c r="F905" s="475" t="s">
        <v>657</v>
      </c>
      <c r="G905" s="475" t="s">
        <v>662</v>
      </c>
    </row>
    <row r="906" spans="1:7">
      <c r="A906" s="471" t="s">
        <v>3193</v>
      </c>
      <c r="B906" s="472" t="s">
        <v>3347</v>
      </c>
      <c r="C906" s="471" t="s">
        <v>3348</v>
      </c>
      <c r="D906" s="473" t="s">
        <v>1027</v>
      </c>
      <c r="E906" s="468" t="s">
        <v>3349</v>
      </c>
      <c r="F906" s="475" t="s">
        <v>439</v>
      </c>
      <c r="G906" s="477"/>
    </row>
    <row r="907" spans="1:7">
      <c r="A907" s="471" t="s">
        <v>3193</v>
      </c>
      <c r="B907" s="472" t="s">
        <v>2094</v>
      </c>
      <c r="C907" s="471" t="s">
        <v>2095</v>
      </c>
      <c r="D907" s="473" t="s">
        <v>1027</v>
      </c>
      <c r="E907" s="468" t="s">
        <v>3350</v>
      </c>
      <c r="F907" s="475" t="s">
        <v>439</v>
      </c>
      <c r="G907" s="477"/>
    </row>
    <row r="908" spans="1:7">
      <c r="A908" s="471" t="s">
        <v>3193</v>
      </c>
      <c r="B908" s="472" t="s">
        <v>3351</v>
      </c>
      <c r="C908" s="471" t="s">
        <v>3352</v>
      </c>
      <c r="D908" s="473" t="s">
        <v>1027</v>
      </c>
      <c r="E908" s="468" t="s">
        <v>3353</v>
      </c>
      <c r="F908" s="479" t="s">
        <v>1029</v>
      </c>
      <c r="G908" s="477"/>
    </row>
    <row r="909" spans="1:7">
      <c r="A909" s="471" t="s">
        <v>3193</v>
      </c>
      <c r="B909" s="472" t="s">
        <v>3354</v>
      </c>
      <c r="C909" s="471" t="s">
        <v>3355</v>
      </c>
      <c r="D909" s="473" t="s">
        <v>1027</v>
      </c>
      <c r="E909" s="468" t="s">
        <v>3356</v>
      </c>
      <c r="F909" s="475" t="s">
        <v>439</v>
      </c>
      <c r="G909" s="477"/>
    </row>
    <row r="910" spans="1:7">
      <c r="A910" s="471" t="s">
        <v>3193</v>
      </c>
      <c r="B910" s="472" t="s">
        <v>3357</v>
      </c>
      <c r="C910" s="471" t="s">
        <v>3358</v>
      </c>
      <c r="D910" s="473" t="s">
        <v>1027</v>
      </c>
      <c r="E910" s="468" t="s">
        <v>3359</v>
      </c>
      <c r="F910" s="475" t="s">
        <v>439</v>
      </c>
      <c r="G910" s="477"/>
    </row>
    <row r="911" spans="1:7">
      <c r="A911" s="471" t="s">
        <v>3193</v>
      </c>
      <c r="B911" s="472" t="s">
        <v>3360</v>
      </c>
      <c r="C911" s="471" t="s">
        <v>3361</v>
      </c>
      <c r="D911" s="473" t="s">
        <v>1027</v>
      </c>
      <c r="E911" s="468" t="s">
        <v>3362</v>
      </c>
      <c r="F911" s="475" t="s">
        <v>439</v>
      </c>
      <c r="G911" s="477"/>
    </row>
    <row r="912" spans="1:7">
      <c r="A912" s="471" t="s">
        <v>3193</v>
      </c>
      <c r="B912" s="472" t="s">
        <v>3363</v>
      </c>
      <c r="C912" s="471" t="s">
        <v>3364</v>
      </c>
      <c r="D912" s="473" t="s">
        <v>1027</v>
      </c>
      <c r="E912" s="468" t="s">
        <v>3365</v>
      </c>
      <c r="F912" s="475" t="s">
        <v>439</v>
      </c>
      <c r="G912" s="477"/>
    </row>
    <row r="913" spans="1:7">
      <c r="A913" s="471" t="s">
        <v>3193</v>
      </c>
      <c r="B913" s="472" t="s">
        <v>3366</v>
      </c>
      <c r="C913" s="471" t="s">
        <v>3367</v>
      </c>
      <c r="D913" s="473" t="s">
        <v>1027</v>
      </c>
      <c r="E913" s="468" t="s">
        <v>3368</v>
      </c>
      <c r="F913" s="479" t="s">
        <v>1029</v>
      </c>
      <c r="G913" s="477"/>
    </row>
    <row r="914" spans="1:7">
      <c r="A914" s="471" t="s">
        <v>3193</v>
      </c>
      <c r="B914" s="472" t="s">
        <v>3369</v>
      </c>
      <c r="C914" s="471" t="s">
        <v>3370</v>
      </c>
      <c r="D914" s="473" t="s">
        <v>1027</v>
      </c>
      <c r="E914" s="468" t="s">
        <v>3371</v>
      </c>
      <c r="F914" s="475" t="s">
        <v>439</v>
      </c>
      <c r="G914" s="477"/>
    </row>
    <row r="915" spans="1:7">
      <c r="A915" s="471" t="s">
        <v>3193</v>
      </c>
      <c r="B915" s="472" t="s">
        <v>3372</v>
      </c>
      <c r="C915" s="471" t="s">
        <v>3373</v>
      </c>
      <c r="D915" s="491"/>
      <c r="E915" s="468" t="s">
        <v>3374</v>
      </c>
      <c r="F915" s="479" t="s">
        <v>1029</v>
      </c>
      <c r="G915" s="477"/>
    </row>
    <row r="916" spans="1:7">
      <c r="A916" s="471" t="s">
        <v>3193</v>
      </c>
      <c r="B916" s="472" t="s">
        <v>3375</v>
      </c>
      <c r="C916" s="471" t="s">
        <v>3376</v>
      </c>
      <c r="D916" s="473" t="s">
        <v>1027</v>
      </c>
      <c r="E916" s="468" t="s">
        <v>3377</v>
      </c>
      <c r="F916" s="475" t="s">
        <v>497</v>
      </c>
      <c r="G916" s="11" t="s">
        <v>2724</v>
      </c>
    </row>
    <row r="917" spans="1:7">
      <c r="A917" s="471" t="s">
        <v>3193</v>
      </c>
      <c r="B917" s="472" t="s">
        <v>3378</v>
      </c>
      <c r="C917" s="471" t="s">
        <v>3379</v>
      </c>
      <c r="D917" s="491"/>
      <c r="E917" s="468" t="s">
        <v>3380</v>
      </c>
      <c r="F917" s="486" t="s">
        <v>1029</v>
      </c>
      <c r="G917" s="477"/>
    </row>
    <row r="918" spans="1:7">
      <c r="A918" s="471" t="s">
        <v>3193</v>
      </c>
      <c r="B918" s="472" t="s">
        <v>3381</v>
      </c>
      <c r="C918" s="471" t="s">
        <v>3382</v>
      </c>
      <c r="D918" s="491"/>
      <c r="E918" s="468" t="s">
        <v>3383</v>
      </c>
      <c r="F918" s="486" t="s">
        <v>1029</v>
      </c>
      <c r="G918" s="477"/>
    </row>
    <row r="919" spans="1:7">
      <c r="A919" s="471" t="s">
        <v>3193</v>
      </c>
      <c r="B919" s="472" t="s">
        <v>3384</v>
      </c>
      <c r="C919" s="471" t="s">
        <v>3385</v>
      </c>
      <c r="D919" s="473" t="s">
        <v>1027</v>
      </c>
      <c r="E919" s="468" t="s">
        <v>3386</v>
      </c>
      <c r="F919" s="475" t="s">
        <v>497</v>
      </c>
      <c r="G919" s="11" t="s">
        <v>2724</v>
      </c>
    </row>
    <row r="920" spans="1:7">
      <c r="A920" s="471" t="s">
        <v>3193</v>
      </c>
      <c r="B920" s="472" t="s">
        <v>2364</v>
      </c>
      <c r="C920" s="471" t="s">
        <v>2365</v>
      </c>
      <c r="D920" s="473" t="s">
        <v>1027</v>
      </c>
      <c r="E920" s="468" t="s">
        <v>3387</v>
      </c>
      <c r="F920" s="475" t="s">
        <v>699</v>
      </c>
      <c r="G920" s="475" t="s">
        <v>2367</v>
      </c>
    </row>
    <row r="921" spans="1:7">
      <c r="A921" s="471" t="s">
        <v>3193</v>
      </c>
      <c r="B921" s="472" t="s">
        <v>1061</v>
      </c>
      <c r="C921" s="471" t="s">
        <v>1062</v>
      </c>
      <c r="D921" s="473" t="s">
        <v>1027</v>
      </c>
      <c r="E921" s="468" t="s">
        <v>3388</v>
      </c>
      <c r="F921" s="475" t="s">
        <v>439</v>
      </c>
      <c r="G921" s="477"/>
    </row>
    <row r="922" spans="1:7">
      <c r="A922" s="471" t="s">
        <v>3193</v>
      </c>
      <c r="B922" s="472" t="s">
        <v>3389</v>
      </c>
      <c r="C922" s="471" t="s">
        <v>3390</v>
      </c>
      <c r="D922" s="473" t="s">
        <v>1027</v>
      </c>
      <c r="E922" s="468" t="s">
        <v>3391</v>
      </c>
      <c r="F922" s="475" t="s">
        <v>657</v>
      </c>
      <c r="G922" s="475" t="s">
        <v>659</v>
      </c>
    </row>
    <row r="923" spans="1:7">
      <c r="A923" s="471" t="s">
        <v>3193</v>
      </c>
      <c r="B923" s="472" t="s">
        <v>2138</v>
      </c>
      <c r="C923" s="471" t="s">
        <v>2139</v>
      </c>
      <c r="D923" s="473" t="s">
        <v>1027</v>
      </c>
      <c r="E923" s="468" t="s">
        <v>3392</v>
      </c>
      <c r="F923" s="475" t="s">
        <v>497</v>
      </c>
      <c r="G923" s="475" t="s">
        <v>2141</v>
      </c>
    </row>
    <row r="924" spans="1:7">
      <c r="A924" s="471" t="s">
        <v>3193</v>
      </c>
      <c r="B924" s="472" t="s">
        <v>3393</v>
      </c>
      <c r="C924" s="471" t="s">
        <v>3394</v>
      </c>
      <c r="D924" s="473" t="s">
        <v>1027</v>
      </c>
      <c r="E924" s="468" t="s">
        <v>3395</v>
      </c>
      <c r="F924" s="475" t="s">
        <v>497</v>
      </c>
      <c r="G924" s="475" t="s">
        <v>2141</v>
      </c>
    </row>
    <row r="925" spans="1:7">
      <c r="A925" s="471" t="s">
        <v>3193</v>
      </c>
      <c r="B925" s="472" t="s">
        <v>3396</v>
      </c>
      <c r="C925" s="471" t="s">
        <v>3397</v>
      </c>
      <c r="D925" s="473" t="s">
        <v>1027</v>
      </c>
      <c r="E925" s="468" t="s">
        <v>3398</v>
      </c>
      <c r="F925" s="475" t="s">
        <v>497</v>
      </c>
      <c r="G925" s="475" t="s">
        <v>2141</v>
      </c>
    </row>
    <row r="926" spans="1:7">
      <c r="A926" s="471" t="s">
        <v>3193</v>
      </c>
      <c r="B926" s="472" t="s">
        <v>3399</v>
      </c>
      <c r="C926" s="471" t="s">
        <v>3400</v>
      </c>
      <c r="D926" s="473" t="s">
        <v>1027</v>
      </c>
      <c r="E926" s="468" t="s">
        <v>3401</v>
      </c>
      <c r="F926" s="475" t="s">
        <v>699</v>
      </c>
      <c r="G926" s="475" t="s">
        <v>2367</v>
      </c>
    </row>
    <row r="927" spans="1:7">
      <c r="A927" s="471" t="s">
        <v>3193</v>
      </c>
      <c r="B927" s="472" t="s">
        <v>3402</v>
      </c>
      <c r="C927" s="471" t="s">
        <v>3403</v>
      </c>
      <c r="D927" s="473" t="s">
        <v>1027</v>
      </c>
      <c r="E927" s="468" t="s">
        <v>3404</v>
      </c>
      <c r="F927" s="475" t="s">
        <v>497</v>
      </c>
      <c r="G927" s="475" t="s">
        <v>2141</v>
      </c>
    </row>
    <row r="928" spans="1:7">
      <c r="A928" s="471" t="s">
        <v>3193</v>
      </c>
      <c r="B928" s="472" t="s">
        <v>3405</v>
      </c>
      <c r="C928" s="471" t="s">
        <v>3406</v>
      </c>
      <c r="D928" s="473" t="s">
        <v>1027</v>
      </c>
      <c r="E928" s="468" t="s">
        <v>3407</v>
      </c>
      <c r="F928" s="475" t="s">
        <v>497</v>
      </c>
      <c r="G928" s="475" t="s">
        <v>3408</v>
      </c>
    </row>
    <row r="929" spans="1:7">
      <c r="A929" s="471" t="s">
        <v>3193</v>
      </c>
      <c r="B929" s="472" t="s">
        <v>3409</v>
      </c>
      <c r="C929" s="471" t="s">
        <v>3410</v>
      </c>
      <c r="D929" s="473" t="s">
        <v>1027</v>
      </c>
      <c r="E929" s="468" t="s">
        <v>3411</v>
      </c>
      <c r="F929" s="475" t="s">
        <v>3412</v>
      </c>
      <c r="G929" s="475" t="s">
        <v>3413</v>
      </c>
    </row>
    <row r="930" spans="1:7">
      <c r="A930" s="471" t="s">
        <v>3193</v>
      </c>
      <c r="B930" s="472" t="s">
        <v>3414</v>
      </c>
      <c r="C930" s="471" t="s">
        <v>3415</v>
      </c>
      <c r="D930" s="473" t="s">
        <v>1027</v>
      </c>
      <c r="E930" s="468" t="s">
        <v>3416</v>
      </c>
      <c r="F930" s="475" t="s">
        <v>497</v>
      </c>
      <c r="G930" s="477"/>
    </row>
    <row r="931" spans="1:7">
      <c r="A931" s="471" t="s">
        <v>3193</v>
      </c>
      <c r="B931" s="472" t="s">
        <v>3417</v>
      </c>
      <c r="C931" s="471" t="s">
        <v>3418</v>
      </c>
      <c r="D931" s="473" t="s">
        <v>1027</v>
      </c>
      <c r="E931" s="468" t="s">
        <v>3419</v>
      </c>
      <c r="F931" s="475" t="s">
        <v>497</v>
      </c>
      <c r="G931" s="477"/>
    </row>
    <row r="932" spans="1:7">
      <c r="A932" s="471" t="s">
        <v>3193</v>
      </c>
      <c r="B932" s="472" t="s">
        <v>3420</v>
      </c>
      <c r="C932" s="471" t="s">
        <v>3421</v>
      </c>
      <c r="D932" s="491"/>
      <c r="E932" s="468" t="s">
        <v>3422</v>
      </c>
      <c r="F932" s="479" t="s">
        <v>1029</v>
      </c>
      <c r="G932" s="477"/>
    </row>
    <row r="933" spans="1:7">
      <c r="A933" s="471" t="s">
        <v>3193</v>
      </c>
      <c r="B933" s="472" t="s">
        <v>3423</v>
      </c>
      <c r="C933" s="471" t="s">
        <v>3424</v>
      </c>
      <c r="D933" s="491"/>
      <c r="E933" s="468" t="s">
        <v>3425</v>
      </c>
      <c r="F933" s="479" t="s">
        <v>1029</v>
      </c>
      <c r="G933" s="477"/>
    </row>
    <row r="934" spans="1:7">
      <c r="A934" s="471" t="s">
        <v>3193</v>
      </c>
      <c r="B934" s="472" t="s">
        <v>1207</v>
      </c>
      <c r="C934" s="471" t="s">
        <v>3426</v>
      </c>
      <c r="D934" s="491"/>
      <c r="E934" s="468" t="s">
        <v>3427</v>
      </c>
      <c r="F934" s="479" t="s">
        <v>1029</v>
      </c>
      <c r="G934" s="477"/>
    </row>
    <row r="935" spans="1:7">
      <c r="A935" s="471" t="s">
        <v>3193</v>
      </c>
      <c r="B935" s="472" t="s">
        <v>2814</v>
      </c>
      <c r="C935" s="471" t="s">
        <v>2815</v>
      </c>
      <c r="D935" s="473" t="s">
        <v>1027</v>
      </c>
      <c r="E935" s="468" t="s">
        <v>3428</v>
      </c>
      <c r="F935" s="475" t="s">
        <v>1823</v>
      </c>
      <c r="G935" s="486" t="s">
        <v>685</v>
      </c>
    </row>
    <row r="936" spans="1:7">
      <c r="A936" s="471" t="s">
        <v>3193</v>
      </c>
      <c r="B936" s="472" t="s">
        <v>3429</v>
      </c>
      <c r="C936" s="471" t="s">
        <v>3430</v>
      </c>
      <c r="D936" s="473" t="s">
        <v>1027</v>
      </c>
      <c r="E936" s="468" t="s">
        <v>3431</v>
      </c>
      <c r="F936" s="475" t="s">
        <v>497</v>
      </c>
      <c r="G936" s="477"/>
    </row>
    <row r="937" spans="1:7">
      <c r="A937" s="471" t="s">
        <v>3193</v>
      </c>
      <c r="B937" s="472" t="s">
        <v>1728</v>
      </c>
      <c r="C937" s="471" t="s">
        <v>1729</v>
      </c>
      <c r="D937" s="473" t="s">
        <v>1027</v>
      </c>
      <c r="E937" s="468" t="s">
        <v>3432</v>
      </c>
      <c r="F937" s="475" t="s">
        <v>497</v>
      </c>
      <c r="G937" s="477"/>
    </row>
    <row r="938" spans="1:7">
      <c r="A938" s="471" t="s">
        <v>3193</v>
      </c>
      <c r="B938" s="472" t="s">
        <v>1847</v>
      </c>
      <c r="C938" s="471" t="s">
        <v>1848</v>
      </c>
      <c r="D938" s="491"/>
      <c r="E938" s="468" t="s">
        <v>3433</v>
      </c>
      <c r="F938" s="474" t="s">
        <v>1084</v>
      </c>
      <c r="G938" s="477"/>
    </row>
    <row r="939" spans="1:7">
      <c r="A939" s="471" t="s">
        <v>3193</v>
      </c>
      <c r="B939" s="472" t="s">
        <v>3434</v>
      </c>
      <c r="C939" s="471" t="s">
        <v>3435</v>
      </c>
      <c r="D939" s="473" t="s">
        <v>1027</v>
      </c>
      <c r="E939" s="468" t="s">
        <v>3436</v>
      </c>
      <c r="F939" s="475" t="s">
        <v>497</v>
      </c>
      <c r="G939" s="475" t="s">
        <v>513</v>
      </c>
    </row>
    <row r="940" spans="1:7">
      <c r="A940" s="471" t="s">
        <v>3193</v>
      </c>
      <c r="B940" s="472" t="s">
        <v>3437</v>
      </c>
      <c r="C940" s="471" t="s">
        <v>3438</v>
      </c>
      <c r="D940" s="491"/>
      <c r="E940" s="468" t="s">
        <v>3439</v>
      </c>
      <c r="F940" s="479" t="s">
        <v>1029</v>
      </c>
      <c r="G940" s="477"/>
    </row>
    <row r="941" spans="1:7">
      <c r="A941" s="471" t="s">
        <v>3193</v>
      </c>
      <c r="B941" s="472" t="s">
        <v>2204</v>
      </c>
      <c r="C941" s="471" t="s">
        <v>2205</v>
      </c>
      <c r="D941" s="473" t="s">
        <v>1027</v>
      </c>
      <c r="E941" s="468" t="s">
        <v>3440</v>
      </c>
      <c r="F941" s="475" t="s">
        <v>497</v>
      </c>
      <c r="G941" s="475" t="s">
        <v>513</v>
      </c>
    </row>
    <row r="942" spans="1:7">
      <c r="A942" s="471" t="s">
        <v>3193</v>
      </c>
      <c r="B942" s="472" t="s">
        <v>2841</v>
      </c>
      <c r="C942" s="471" t="s">
        <v>2842</v>
      </c>
      <c r="D942" s="473" t="s">
        <v>1027</v>
      </c>
      <c r="E942" s="468" t="s">
        <v>3441</v>
      </c>
      <c r="F942" s="475" t="s">
        <v>497</v>
      </c>
      <c r="G942" s="477"/>
    </row>
    <row r="943" spans="1:7">
      <c r="A943" s="471" t="s">
        <v>3193</v>
      </c>
      <c r="B943" s="472" t="s">
        <v>3442</v>
      </c>
      <c r="C943" s="471" t="s">
        <v>3443</v>
      </c>
      <c r="D943" s="473" t="s">
        <v>1027</v>
      </c>
      <c r="E943" s="468" t="s">
        <v>3444</v>
      </c>
      <c r="F943" s="475" t="s">
        <v>497</v>
      </c>
      <c r="G943" s="490"/>
    </row>
    <row r="944" spans="1:7">
      <c r="A944" s="471" t="s">
        <v>3193</v>
      </c>
      <c r="B944" s="472" t="s">
        <v>3445</v>
      </c>
      <c r="C944" s="471" t="s">
        <v>3446</v>
      </c>
      <c r="D944" s="473" t="s">
        <v>1027</v>
      </c>
      <c r="E944" s="468" t="s">
        <v>3447</v>
      </c>
      <c r="F944" s="475" t="s">
        <v>497</v>
      </c>
      <c r="G944" s="477"/>
    </row>
    <row r="945" spans="1:7">
      <c r="A945" s="471" t="s">
        <v>3193</v>
      </c>
      <c r="B945" s="472" t="s">
        <v>3448</v>
      </c>
      <c r="C945" s="471" t="s">
        <v>3449</v>
      </c>
      <c r="D945" s="473" t="s">
        <v>1027</v>
      </c>
      <c r="E945" s="468" t="s">
        <v>3450</v>
      </c>
      <c r="F945" s="475" t="s">
        <v>497</v>
      </c>
      <c r="G945" s="475" t="s">
        <v>522</v>
      </c>
    </row>
    <row r="946" spans="1:7">
      <c r="A946" s="471" t="s">
        <v>3193</v>
      </c>
      <c r="B946" s="472" t="s">
        <v>3451</v>
      </c>
      <c r="C946" s="471" t="s">
        <v>3452</v>
      </c>
      <c r="D946" s="473" t="s">
        <v>1027</v>
      </c>
      <c r="E946" s="468" t="s">
        <v>3453</v>
      </c>
      <c r="F946" s="475" t="s">
        <v>439</v>
      </c>
      <c r="G946" s="477"/>
    </row>
  </sheetData>
  <mergeCells count="1">
    <mergeCell ref="A2:G2"/>
  </mergeCells>
  <conditionalFormatting sqref="B4:C402 B408:C408 A412:D412 F412 A453:D454 F453:F454 B477:C477 A521:D521 A522:C522 B523:C523 B552:C552 C576 B609:C609 B638:C639 C703 B733:C733 C756 B788:C788 B792:C792 B802:C802 B836:C836 B840:C840 B844:C844 A920:C920 C938 A941:C941 B946:C946">
    <cfRule type="cellIs" dxfId="22" priority="64" stopIfTrue="1" operator="equal">
      <formula>0</formula>
    </cfRule>
  </conditionalFormatting>
  <conditionalFormatting sqref="G4 G17 G20:G28 G57:G69 G72:G74 G94:G95 G97:G101 G107:G116 G118:G125 G127 G137:G138 G142 G178:G186 G193:G195 G197:G199 G214:G216 G240:G242 G244:G270 G309 G311:G314 G317:G318 G362:G370 G372:G379 G381:G383 G388:G389 G414:G419 G467:G468 G552:G553 G571:G576 G731:G755 G757:G758 G777:G778 G783 G785 G787 G789:G878 G881:G903 G905:G913 G915 G917 G920 G929:G934 G936:G937 G940:G941 G943 G945:G946">
    <cfRule type="cellIs" dxfId="21" priority="63" stopIfTrue="1" operator="equal">
      <formula>0</formula>
    </cfRule>
  </conditionalFormatting>
  <conditionalFormatting sqref="G31:G35">
    <cfRule type="cellIs" dxfId="20" priority="7" stopIfTrue="1" operator="equal">
      <formula>0</formula>
    </cfRule>
  </conditionalFormatting>
  <conditionalFormatting sqref="G129:G134">
    <cfRule type="cellIs" dxfId="19" priority="61" stopIfTrue="1" operator="equal">
      <formula>0</formula>
    </cfRule>
  </conditionalFormatting>
  <conditionalFormatting sqref="G201">
    <cfRule type="cellIs" dxfId="18" priority="62" stopIfTrue="1" operator="equal">
      <formula>0</formula>
    </cfRule>
  </conditionalFormatting>
  <conditionalFormatting sqref="G276:G293">
    <cfRule type="cellIs" dxfId="17" priority="50" stopIfTrue="1" operator="equal">
      <formula>0</formula>
    </cfRule>
  </conditionalFormatting>
  <conditionalFormatting sqref="G295:G296">
    <cfRule type="cellIs" dxfId="16" priority="48" stopIfTrue="1" operator="equal">
      <formula>0</formula>
    </cfRule>
  </conditionalFormatting>
  <conditionalFormatting sqref="G301:G303">
    <cfRule type="cellIs" dxfId="15" priority="47" stopIfTrue="1" operator="equal">
      <formula>0</formula>
    </cfRule>
  </conditionalFormatting>
  <conditionalFormatting sqref="G320:G322">
    <cfRule type="cellIs" dxfId="14" priority="45" stopIfTrue="1" operator="equal">
      <formula>0</formula>
    </cfRule>
  </conditionalFormatting>
  <conditionalFormatting sqref="G325:G360">
    <cfRule type="cellIs" dxfId="13" priority="6" stopIfTrue="1" operator="equal">
      <formula>0</formula>
    </cfRule>
  </conditionalFormatting>
  <conditionalFormatting sqref="G386">
    <cfRule type="cellIs" dxfId="12" priority="21" stopIfTrue="1" operator="equal">
      <formula>0</formula>
    </cfRule>
  </conditionalFormatting>
  <conditionalFormatting sqref="G392:G396">
    <cfRule type="cellIs" dxfId="11" priority="18" stopIfTrue="1" operator="equal">
      <formula>0</formula>
    </cfRule>
  </conditionalFormatting>
  <conditionalFormatting sqref="G398:G412">
    <cfRule type="cellIs" dxfId="10" priority="16" stopIfTrue="1" operator="equal">
      <formula>0</formula>
    </cfRule>
  </conditionalFormatting>
  <conditionalFormatting sqref="G425:G427">
    <cfRule type="cellIs" dxfId="9" priority="15" stopIfTrue="1" operator="equal">
      <formula>0</formula>
    </cfRule>
  </conditionalFormatting>
  <conditionalFormatting sqref="G429:G457">
    <cfRule type="cellIs" dxfId="8" priority="9" stopIfTrue="1" operator="equal">
      <formula>0</formula>
    </cfRule>
  </conditionalFormatting>
  <conditionalFormatting sqref="G475:G479">
    <cfRule type="cellIs" dxfId="7" priority="8" stopIfTrue="1" operator="equal">
      <formula>0</formula>
    </cfRule>
  </conditionalFormatting>
  <conditionalFormatting sqref="G520:G523">
    <cfRule type="cellIs" dxfId="6" priority="5" stopIfTrue="1" operator="equal">
      <formula>0</formula>
    </cfRule>
  </conditionalFormatting>
  <conditionalFormatting sqref="G555:G561">
    <cfRule type="cellIs" dxfId="5" priority="4" stopIfTrue="1" operator="equal">
      <formula>0</formula>
    </cfRule>
  </conditionalFormatting>
  <conditionalFormatting sqref="G565">
    <cfRule type="cellIs" dxfId="4" priority="3" stopIfTrue="1" operator="equal">
      <formula>0</formula>
    </cfRule>
  </conditionalFormatting>
  <conditionalFormatting sqref="G569">
    <cfRule type="cellIs" dxfId="3" priority="2" stopIfTrue="1" operator="equal">
      <formula>0</formula>
    </cfRule>
  </conditionalFormatting>
  <conditionalFormatting sqref="G588:G593">
    <cfRule type="cellIs" dxfId="2" priority="1" stopIfTrue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663AD-0441-412E-80F7-26142198F621}">
  <sheetPr>
    <tabColor rgb="FFFFFF00"/>
  </sheetPr>
  <dimension ref="B1:M394"/>
  <sheetViews>
    <sheetView showGridLines="0" workbookViewId="0">
      <selection activeCell="G30" sqref="G30"/>
    </sheetView>
  </sheetViews>
  <sheetFormatPr defaultColWidth="11.42578125" defaultRowHeight="14.45"/>
  <cols>
    <col min="1" max="1" width="4.42578125" customWidth="1"/>
  </cols>
  <sheetData>
    <row r="1" spans="2:13" ht="15" thickBot="1"/>
    <row r="2" spans="2:13">
      <c r="B2" s="500">
        <v>-1</v>
      </c>
      <c r="C2" s="25" t="s">
        <v>221</v>
      </c>
      <c r="D2" s="25"/>
      <c r="E2" s="25"/>
      <c r="F2" s="25"/>
      <c r="G2" s="25"/>
      <c r="H2" s="25"/>
      <c r="I2" s="25"/>
      <c r="J2" s="25"/>
      <c r="K2" s="25"/>
      <c r="L2" s="25"/>
      <c r="M2" s="26"/>
    </row>
    <row r="3" spans="2:13">
      <c r="B3" s="18">
        <v>-1</v>
      </c>
      <c r="C3" s="11" t="str">
        <f>D3</f>
        <v>ADDBLUE</v>
      </c>
      <c r="D3" s="11" t="s">
        <v>1254</v>
      </c>
      <c r="E3" s="11"/>
      <c r="F3" s="11"/>
      <c r="G3" s="11"/>
      <c r="H3" s="11"/>
      <c r="I3" s="11"/>
      <c r="J3" s="11"/>
      <c r="K3" s="11"/>
      <c r="L3" s="11"/>
      <c r="M3" s="27"/>
    </row>
    <row r="4" spans="2:13">
      <c r="B4" s="18">
        <v>-1</v>
      </c>
      <c r="C4" s="11" t="str">
        <f t="shared" ref="C4:C17" si="0">D4</f>
        <v>CARBURANT</v>
      </c>
      <c r="D4" s="11" t="s">
        <v>3454</v>
      </c>
      <c r="E4" s="11"/>
      <c r="F4" s="11"/>
      <c r="G4" s="11"/>
      <c r="H4" s="11"/>
      <c r="I4" s="11"/>
      <c r="J4" s="11"/>
      <c r="K4" s="11"/>
      <c r="L4" s="11"/>
      <c r="M4" s="27"/>
    </row>
    <row r="5" spans="2:13">
      <c r="B5" s="18">
        <v>-1</v>
      </c>
      <c r="C5" s="11" t="str">
        <f t="shared" si="0"/>
        <v>CIRCUIT AIR</v>
      </c>
      <c r="D5" s="11" t="s">
        <v>227</v>
      </c>
      <c r="E5" s="11"/>
      <c r="F5" s="11"/>
      <c r="G5" s="11"/>
      <c r="H5" s="11"/>
      <c r="I5" s="11"/>
      <c r="J5" s="11"/>
      <c r="K5" s="11"/>
      <c r="L5" s="11"/>
      <c r="M5" s="27"/>
    </row>
    <row r="6" spans="2:13">
      <c r="B6" s="18">
        <v>-1</v>
      </c>
      <c r="C6" s="11" t="str">
        <f t="shared" si="0"/>
        <v>CIRCUIT EAU</v>
      </c>
      <c r="D6" s="11" t="s">
        <v>241</v>
      </c>
      <c r="E6" s="11"/>
      <c r="F6" s="11"/>
      <c r="G6" s="11"/>
      <c r="H6" s="11"/>
      <c r="I6" s="11"/>
      <c r="J6" s="11"/>
      <c r="K6" s="11"/>
      <c r="L6" s="11"/>
      <c r="M6" s="27"/>
    </row>
    <row r="7" spans="2:13">
      <c r="B7" s="18">
        <v>-1</v>
      </c>
      <c r="C7" s="11" t="str">
        <f t="shared" si="0"/>
        <v>COMMANDE VITESSE</v>
      </c>
      <c r="D7" s="11" t="s">
        <v>264</v>
      </c>
      <c r="E7" s="11"/>
      <c r="F7" s="11"/>
      <c r="G7" s="11"/>
      <c r="H7" s="11"/>
      <c r="I7" s="11"/>
      <c r="J7" s="11"/>
      <c r="K7" s="11"/>
      <c r="L7" s="11"/>
      <c r="M7" s="27"/>
    </row>
    <row r="8" spans="2:13">
      <c r="B8" s="18">
        <v>-1</v>
      </c>
      <c r="C8" s="11" t="str">
        <f t="shared" si="0"/>
        <v>ECHAPPEMENT</v>
      </c>
      <c r="D8" s="11" t="s">
        <v>269</v>
      </c>
      <c r="E8" s="11"/>
      <c r="F8" s="11"/>
      <c r="G8" s="11"/>
      <c r="H8" s="11"/>
      <c r="I8" s="11"/>
      <c r="J8" s="11"/>
      <c r="K8" s="11"/>
      <c r="L8" s="11"/>
      <c r="M8" s="27"/>
    </row>
    <row r="9" spans="2:13">
      <c r="B9" s="18">
        <v>-1</v>
      </c>
      <c r="C9" s="11" t="str">
        <f t="shared" si="0"/>
        <v>ECRANS THERMIQUE</v>
      </c>
      <c r="D9" s="11" t="s">
        <v>274</v>
      </c>
      <c r="E9" s="11"/>
      <c r="F9" s="11"/>
      <c r="G9" s="11"/>
      <c r="H9" s="11"/>
      <c r="I9" s="11"/>
      <c r="J9" s="11"/>
      <c r="K9" s="11"/>
      <c r="L9" s="11"/>
      <c r="M9" s="27"/>
    </row>
    <row r="10" spans="2:13">
      <c r="B10" s="18">
        <v>-1</v>
      </c>
      <c r="C10" s="11" t="str">
        <f t="shared" si="0"/>
        <v>FACADE</v>
      </c>
      <c r="D10" s="11" t="s">
        <v>279</v>
      </c>
      <c r="E10" s="11"/>
      <c r="F10" s="11"/>
      <c r="G10" s="11"/>
      <c r="H10" s="11"/>
      <c r="I10" s="11"/>
      <c r="J10" s="11"/>
      <c r="K10" s="11"/>
      <c r="L10" s="11"/>
      <c r="M10" s="27"/>
    </row>
    <row r="11" spans="2:13">
      <c r="B11" s="18">
        <v>-1</v>
      </c>
      <c r="C11" s="11" t="str">
        <f t="shared" si="0"/>
        <v>LIQUIDE ADDITIF</v>
      </c>
      <c r="D11" s="11" t="s">
        <v>281</v>
      </c>
      <c r="E11" s="11"/>
      <c r="F11" s="11"/>
      <c r="G11" s="11"/>
      <c r="H11" s="11"/>
      <c r="I11" s="11"/>
      <c r="J11" s="11"/>
      <c r="K11" s="11"/>
      <c r="L11" s="11"/>
      <c r="M11" s="27"/>
    </row>
    <row r="12" spans="2:13">
      <c r="B12" s="18">
        <v>-1</v>
      </c>
      <c r="C12" s="11" t="str">
        <f t="shared" si="0"/>
        <v>LIQUIDE REFROIDISSEMENT</v>
      </c>
      <c r="D12" s="11" t="s">
        <v>283</v>
      </c>
      <c r="E12" s="11"/>
      <c r="F12" s="11"/>
      <c r="G12" s="11"/>
      <c r="H12" s="11"/>
      <c r="I12" s="11"/>
      <c r="J12" s="11"/>
      <c r="K12" s="11"/>
      <c r="L12" s="11"/>
      <c r="M12" s="27"/>
    </row>
    <row r="13" spans="2:13">
      <c r="B13" s="18">
        <v>-1</v>
      </c>
      <c r="C13" s="11" t="str">
        <f t="shared" si="0"/>
        <v>PEDALIER</v>
      </c>
      <c r="D13" s="11" t="s">
        <v>284</v>
      </c>
      <c r="E13" s="11"/>
      <c r="F13" s="11"/>
      <c r="G13" s="11"/>
      <c r="H13" s="11"/>
      <c r="I13" s="11"/>
      <c r="J13" s="11"/>
      <c r="K13" s="11"/>
      <c r="L13" s="11"/>
      <c r="M13" s="27"/>
    </row>
    <row r="14" spans="2:13">
      <c r="B14" s="18">
        <v>-1</v>
      </c>
      <c r="C14" s="11" t="str">
        <f t="shared" si="0"/>
        <v>RESERVOIR ADDITIF</v>
      </c>
      <c r="D14" s="11" t="s">
        <v>1276</v>
      </c>
      <c r="E14" s="11"/>
      <c r="F14" s="11"/>
      <c r="G14" s="11"/>
      <c r="H14" s="11"/>
      <c r="I14" s="11"/>
      <c r="J14" s="11"/>
      <c r="K14" s="11"/>
      <c r="L14" s="11"/>
      <c r="M14" s="27"/>
    </row>
    <row r="15" spans="2:13">
      <c r="B15" s="18">
        <v>-1</v>
      </c>
      <c r="C15" s="11" t="str">
        <f t="shared" si="0"/>
        <v>RESERVOIR CARBURANT</v>
      </c>
      <c r="D15" s="11" t="s">
        <v>289</v>
      </c>
      <c r="E15" s="11"/>
      <c r="F15" s="11"/>
      <c r="G15" s="11"/>
      <c r="H15" s="11"/>
      <c r="I15" s="11"/>
      <c r="J15" s="11"/>
      <c r="K15" s="11"/>
      <c r="L15" s="11"/>
      <c r="M15" s="27"/>
    </row>
    <row r="16" spans="2:13">
      <c r="B16" s="18">
        <v>87</v>
      </c>
      <c r="C16" s="11" t="str">
        <f t="shared" si="0"/>
        <v>Supports GMP</v>
      </c>
      <c r="D16" s="11" t="s">
        <v>3455</v>
      </c>
      <c r="E16" s="11"/>
      <c r="F16" s="11"/>
      <c r="G16" s="11"/>
      <c r="H16" s="11"/>
      <c r="I16" s="11"/>
      <c r="J16" s="11"/>
      <c r="K16" s="11"/>
      <c r="L16" s="11"/>
      <c r="M16" s="27"/>
    </row>
    <row r="17" spans="2:13">
      <c r="B17" s="18">
        <v>3123</v>
      </c>
      <c r="C17" s="11" t="str">
        <f t="shared" si="0"/>
        <v>Système de refroidissement par huile</v>
      </c>
      <c r="D17" s="11" t="s">
        <v>3456</v>
      </c>
      <c r="E17" s="11"/>
      <c r="F17" s="11"/>
      <c r="G17" s="11"/>
      <c r="H17" s="11"/>
      <c r="I17" s="11"/>
      <c r="J17" s="11"/>
      <c r="K17" s="11"/>
      <c r="L17" s="11"/>
      <c r="M17" s="27"/>
    </row>
    <row r="18" spans="2:13">
      <c r="B18" s="501">
        <v>-1</v>
      </c>
      <c r="C18" s="8" t="s">
        <v>280</v>
      </c>
      <c r="D18" s="8"/>
      <c r="E18" s="8"/>
      <c r="F18" s="8"/>
      <c r="G18" s="8"/>
      <c r="H18" s="8"/>
      <c r="I18" s="8"/>
      <c r="J18" s="8"/>
      <c r="K18" s="8"/>
      <c r="L18" s="8"/>
      <c r="M18" s="29"/>
    </row>
    <row r="19" spans="2:13">
      <c r="B19" s="18">
        <v>-1</v>
      </c>
      <c r="C19" s="11" t="str">
        <f t="shared" ref="C19:C22" si="1">D19</f>
        <v>DIVERS ADTH</v>
      </c>
      <c r="D19" s="11" t="s">
        <v>3001</v>
      </c>
      <c r="E19" s="11"/>
      <c r="F19" s="11"/>
      <c r="G19" s="11"/>
      <c r="H19" s="11"/>
      <c r="I19" s="11"/>
      <c r="J19" s="11"/>
      <c r="K19" s="11"/>
      <c r="L19" s="11"/>
      <c r="M19" s="27"/>
    </row>
    <row r="20" spans="2:13">
      <c r="B20" s="18">
        <v>-1</v>
      </c>
      <c r="C20" s="11" t="str">
        <f t="shared" si="1"/>
        <v>GROUP CLIM</v>
      </c>
      <c r="D20" s="11" t="s">
        <v>1856</v>
      </c>
      <c r="E20" s="11"/>
      <c r="F20" s="11"/>
      <c r="G20" s="11"/>
      <c r="H20" s="11"/>
      <c r="I20" s="11"/>
      <c r="J20" s="11"/>
      <c r="K20" s="11"/>
      <c r="L20" s="11"/>
      <c r="M20" s="27"/>
    </row>
    <row r="21" spans="2:13">
      <c r="B21" s="18">
        <v>-1</v>
      </c>
      <c r="C21" s="11" t="str">
        <f t="shared" si="1"/>
        <v>COMPRESSEUR CLIM</v>
      </c>
      <c r="D21" s="11" t="s">
        <v>1392</v>
      </c>
      <c r="E21" s="11"/>
      <c r="F21" s="11"/>
      <c r="G21" s="11"/>
      <c r="H21" s="11"/>
      <c r="I21" s="11"/>
      <c r="J21" s="11"/>
      <c r="K21" s="11"/>
      <c r="L21" s="11"/>
      <c r="M21" s="27"/>
    </row>
    <row r="22" spans="2:13">
      <c r="B22" s="18">
        <v>-1</v>
      </c>
      <c r="C22" s="11" t="str">
        <f t="shared" si="1"/>
        <v>GROUPE ADDITIONNEL</v>
      </c>
      <c r="D22" s="11" t="s">
        <v>1860</v>
      </c>
      <c r="E22" s="11"/>
      <c r="F22" s="11"/>
      <c r="G22" s="11"/>
      <c r="H22" s="11"/>
      <c r="I22" s="11"/>
      <c r="J22" s="11"/>
      <c r="K22" s="11"/>
      <c r="L22" s="11"/>
      <c r="M22" s="27"/>
    </row>
    <row r="23" spans="2:13">
      <c r="B23" s="501">
        <v>-1</v>
      </c>
      <c r="C23" s="8" t="s">
        <v>332</v>
      </c>
      <c r="D23" s="8"/>
      <c r="E23" s="8"/>
      <c r="F23" s="8"/>
      <c r="G23" s="8"/>
      <c r="H23" s="8"/>
      <c r="I23" s="8"/>
      <c r="J23" s="8"/>
      <c r="K23" s="8"/>
      <c r="L23" s="8"/>
      <c r="M23" s="29"/>
    </row>
    <row r="24" spans="2:13">
      <c r="B24" s="18">
        <v>13885</v>
      </c>
      <c r="C24" s="11" t="str">
        <f t="shared" ref="C24:C27" si="2">D24</f>
        <v>Ailes avant</v>
      </c>
      <c r="D24" s="11" t="s">
        <v>335</v>
      </c>
      <c r="E24" s="11"/>
      <c r="F24" s="11"/>
      <c r="G24" s="11"/>
      <c r="H24" s="11"/>
      <c r="I24" s="11"/>
      <c r="J24" s="11"/>
      <c r="K24" s="11"/>
      <c r="L24" s="11"/>
      <c r="M24" s="27"/>
    </row>
    <row r="25" spans="2:13">
      <c r="B25" s="18">
        <v>14859</v>
      </c>
      <c r="C25" s="11" t="str">
        <f t="shared" si="2"/>
        <v>Ailes arrière</v>
      </c>
      <c r="D25" s="11" t="s">
        <v>339</v>
      </c>
      <c r="E25" s="11"/>
      <c r="F25" s="11"/>
      <c r="G25" s="11"/>
      <c r="H25" s="11"/>
      <c r="I25" s="11"/>
      <c r="J25" s="11"/>
      <c r="K25" s="11"/>
      <c r="L25" s="11"/>
      <c r="M25" s="27"/>
    </row>
    <row r="26" spans="2:13">
      <c r="B26" s="18">
        <v>2432</v>
      </c>
      <c r="C26" s="11" t="str">
        <f t="shared" si="2"/>
        <v>Avant gauche (ancien process)</v>
      </c>
      <c r="D26" s="11" t="s">
        <v>3457</v>
      </c>
      <c r="E26" s="11"/>
      <c r="F26" s="11"/>
      <c r="G26" s="11"/>
      <c r="H26" s="11"/>
      <c r="I26" s="11"/>
      <c r="J26" s="11"/>
      <c r="K26" s="11"/>
      <c r="L26" s="11"/>
      <c r="M26" s="27"/>
    </row>
    <row r="27" spans="2:13">
      <c r="B27" s="18">
        <v>2431</v>
      </c>
      <c r="C27" s="11" t="str">
        <f t="shared" si="2"/>
        <v>Avant droite (ancien process)</v>
      </c>
      <c r="D27" s="11" t="s">
        <v>3458</v>
      </c>
      <c r="E27" s="11"/>
      <c r="F27" s="11"/>
      <c r="G27" s="11"/>
      <c r="H27" s="11"/>
      <c r="I27" s="11"/>
      <c r="J27" s="11"/>
      <c r="K27" s="11"/>
      <c r="L27" s="11"/>
      <c r="M27" s="27"/>
    </row>
    <row r="28" spans="2:13">
      <c r="B28" s="501">
        <v>-1</v>
      </c>
      <c r="C28" s="8" t="s">
        <v>1354</v>
      </c>
      <c r="D28" s="8"/>
      <c r="E28" s="8"/>
      <c r="F28" s="8"/>
      <c r="G28" s="8"/>
      <c r="H28" s="8"/>
      <c r="I28" s="8"/>
      <c r="J28" s="8"/>
      <c r="K28" s="8"/>
      <c r="L28" s="8"/>
      <c r="M28" s="29"/>
    </row>
    <row r="29" spans="2:13">
      <c r="B29" s="18">
        <v>6208</v>
      </c>
      <c r="C29" s="11" t="str">
        <f>D29</f>
        <v>Système alternateur</v>
      </c>
      <c r="D29" s="11" t="s">
        <v>1355</v>
      </c>
      <c r="E29" s="11"/>
      <c r="F29" s="11"/>
      <c r="G29" s="11"/>
      <c r="H29" s="11"/>
      <c r="I29" s="11"/>
      <c r="J29" s="11"/>
      <c r="K29" s="11"/>
      <c r="L29" s="11"/>
      <c r="M29" s="27"/>
    </row>
    <row r="30" spans="2:13">
      <c r="B30" s="501">
        <v>-1</v>
      </c>
      <c r="C30" s="8" t="s">
        <v>343</v>
      </c>
      <c r="D30" s="8"/>
      <c r="E30" s="8"/>
      <c r="F30" s="8"/>
      <c r="G30" s="8"/>
      <c r="H30" s="8"/>
      <c r="I30" s="8"/>
      <c r="J30" s="8"/>
      <c r="K30" s="8"/>
      <c r="L30" s="8"/>
      <c r="M30" s="29"/>
    </row>
    <row r="31" spans="2:13">
      <c r="B31" s="18">
        <v>-1</v>
      </c>
      <c r="C31" s="11" t="str">
        <f t="shared" ref="C31:C34" si="3">D31</f>
        <v>ASSISE AR RG2</v>
      </c>
      <c r="D31" s="11" t="s">
        <v>346</v>
      </c>
      <c r="E31" s="11"/>
      <c r="F31" s="11"/>
      <c r="G31" s="11"/>
      <c r="H31" s="11"/>
      <c r="I31" s="11"/>
      <c r="J31" s="11"/>
      <c r="K31" s="11"/>
      <c r="L31" s="11"/>
      <c r="M31" s="27"/>
    </row>
    <row r="32" spans="2:13">
      <c r="B32" s="18">
        <v>-1</v>
      </c>
      <c r="C32" s="11" t="str">
        <f t="shared" si="3"/>
        <v>ASSISE AR RG3</v>
      </c>
      <c r="D32" s="11" t="s">
        <v>350</v>
      </c>
      <c r="E32" s="11"/>
      <c r="F32" s="11"/>
      <c r="G32" s="11"/>
      <c r="H32" s="11"/>
      <c r="I32" s="11"/>
      <c r="J32" s="11"/>
      <c r="K32" s="11"/>
      <c r="L32" s="11"/>
      <c r="M32" s="27"/>
    </row>
    <row r="33" spans="2:13">
      <c r="B33" s="18">
        <v>-1</v>
      </c>
      <c r="C33" s="11" t="str">
        <f t="shared" si="3"/>
        <v>ASSISE AV</v>
      </c>
      <c r="D33" s="11" t="s">
        <v>352</v>
      </c>
      <c r="E33" s="11"/>
      <c r="F33" s="11"/>
      <c r="G33" s="11"/>
      <c r="H33" s="11"/>
      <c r="I33" s="11"/>
      <c r="J33" s="11"/>
      <c r="K33" s="11"/>
      <c r="L33" s="11"/>
      <c r="M33" s="27"/>
    </row>
    <row r="34" spans="2:13">
      <c r="B34" s="18">
        <v>9573</v>
      </c>
      <c r="C34" s="11" t="str">
        <f t="shared" si="3"/>
        <v>Fixations ISOFIX</v>
      </c>
      <c r="D34" s="11" t="s">
        <v>3459</v>
      </c>
      <c r="E34" s="11"/>
      <c r="F34" s="11"/>
      <c r="G34" s="11"/>
      <c r="H34" s="11"/>
      <c r="I34" s="11"/>
      <c r="J34" s="11"/>
      <c r="K34" s="11"/>
      <c r="L34" s="11"/>
      <c r="M34" s="27"/>
    </row>
    <row r="35" spans="2:13">
      <c r="B35" s="501">
        <v>-1</v>
      </c>
      <c r="C35" s="8" t="s">
        <v>3412</v>
      </c>
      <c r="D35" s="8"/>
      <c r="E35" s="8"/>
      <c r="F35" s="8"/>
      <c r="G35" s="8"/>
      <c r="H35" s="8"/>
      <c r="I35" s="8"/>
      <c r="J35" s="8"/>
      <c r="K35" s="8"/>
      <c r="L35" s="8"/>
      <c r="M35" s="29"/>
    </row>
    <row r="36" spans="2:13">
      <c r="B36" s="18">
        <v>5541</v>
      </c>
      <c r="C36" s="11" t="str">
        <f>D36</f>
        <v>Système crochet d attelage / Porte vélo</v>
      </c>
      <c r="D36" s="11" t="s">
        <v>3413</v>
      </c>
      <c r="E36" s="11"/>
      <c r="F36" s="11"/>
      <c r="G36" s="11"/>
      <c r="H36" s="11"/>
      <c r="I36" s="11"/>
      <c r="J36" s="11"/>
      <c r="K36" s="11"/>
      <c r="L36" s="11"/>
      <c r="M36" s="27"/>
    </row>
    <row r="37" spans="2:13">
      <c r="B37" s="501">
        <v>-1</v>
      </c>
      <c r="C37" s="8" t="s">
        <v>1095</v>
      </c>
      <c r="D37" s="8"/>
      <c r="E37" s="8"/>
      <c r="F37" s="8"/>
      <c r="G37" s="8"/>
      <c r="H37" s="8"/>
      <c r="I37" s="8"/>
      <c r="J37" s="8"/>
      <c r="K37" s="8"/>
      <c r="L37" s="8"/>
      <c r="M37" s="29"/>
    </row>
    <row r="38" spans="2:13">
      <c r="B38" s="18">
        <v>2131</v>
      </c>
      <c r="C38" s="11" t="str">
        <f>D38</f>
        <v>Système batterie 12V</v>
      </c>
      <c r="D38" s="11" t="s">
        <v>3460</v>
      </c>
      <c r="E38" s="11"/>
      <c r="F38" s="11"/>
      <c r="G38" s="11"/>
      <c r="H38" s="11"/>
      <c r="I38" s="11"/>
      <c r="J38" s="11"/>
      <c r="K38" s="11"/>
      <c r="L38" s="11"/>
      <c r="M38" s="27"/>
    </row>
    <row r="39" spans="2:13">
      <c r="B39" s="501">
        <v>-1</v>
      </c>
      <c r="C39" s="8" t="s">
        <v>1865</v>
      </c>
      <c r="D39" s="8"/>
      <c r="E39" s="8"/>
      <c r="F39" s="8"/>
      <c r="G39" s="8"/>
      <c r="H39" s="8"/>
      <c r="I39" s="8"/>
      <c r="J39" s="8"/>
      <c r="K39" s="8"/>
      <c r="L39" s="8"/>
      <c r="M39" s="29"/>
    </row>
    <row r="40" spans="2:13">
      <c r="B40" s="18">
        <v>11460</v>
      </c>
      <c r="C40" s="11" t="str">
        <f t="shared" ref="C40:C46" si="4">D40</f>
        <v>Système batterie traction</v>
      </c>
      <c r="D40" s="11" t="s">
        <v>377</v>
      </c>
      <c r="E40" s="11"/>
      <c r="F40" s="11"/>
      <c r="G40" s="11"/>
      <c r="H40" s="11"/>
      <c r="I40" s="11"/>
      <c r="J40" s="11"/>
      <c r="K40" s="11"/>
      <c r="L40" s="11"/>
      <c r="M40" s="27"/>
    </row>
    <row r="41" spans="2:13">
      <c r="B41" s="18">
        <v>30155</v>
      </c>
      <c r="C41" s="11" t="str">
        <f t="shared" si="4"/>
        <v>Système module de charge HT</v>
      </c>
      <c r="D41" s="11" t="s">
        <v>395</v>
      </c>
      <c r="E41" s="11"/>
      <c r="F41" s="11"/>
      <c r="G41" s="11"/>
      <c r="H41" s="11"/>
      <c r="I41" s="11"/>
      <c r="J41" s="11"/>
      <c r="K41" s="11"/>
      <c r="L41" s="11"/>
      <c r="M41" s="27"/>
    </row>
    <row r="42" spans="2:13">
      <c r="B42" s="18">
        <v>18975</v>
      </c>
      <c r="C42" s="11" t="str">
        <f t="shared" si="4"/>
        <v>Durite de ventilation module charge HT</v>
      </c>
      <c r="D42" s="11" t="s">
        <v>397</v>
      </c>
      <c r="E42" s="11"/>
      <c r="F42" s="11"/>
      <c r="G42" s="11"/>
      <c r="H42" s="11"/>
      <c r="I42" s="11"/>
      <c r="J42" s="11"/>
      <c r="K42" s="11"/>
      <c r="L42" s="11"/>
      <c r="M42" s="27"/>
    </row>
    <row r="43" spans="2:13">
      <c r="B43" s="18">
        <v>30029</v>
      </c>
      <c r="C43" s="11" t="str">
        <f t="shared" si="4"/>
        <v>Calculateur gestion batterie HT</v>
      </c>
      <c r="D43" s="11" t="s">
        <v>398</v>
      </c>
      <c r="E43" s="11"/>
      <c r="F43" s="11"/>
      <c r="G43" s="11"/>
      <c r="H43" s="11"/>
      <c r="I43" s="11"/>
      <c r="J43" s="11"/>
      <c r="K43" s="11"/>
      <c r="L43" s="11"/>
      <c r="M43" s="27"/>
    </row>
    <row r="44" spans="2:13">
      <c r="B44" s="18">
        <v>26718</v>
      </c>
      <c r="C44" s="11" t="str">
        <f t="shared" si="4"/>
        <v>Second support module charge HT</v>
      </c>
      <c r="D44" s="11" t="s">
        <v>399</v>
      </c>
      <c r="E44" s="11"/>
      <c r="F44" s="11"/>
      <c r="G44" s="11"/>
      <c r="H44" s="11"/>
      <c r="I44" s="11"/>
      <c r="J44" s="11"/>
      <c r="K44" s="11"/>
      <c r="L44" s="11"/>
      <c r="M44" s="27"/>
    </row>
    <row r="45" spans="2:13">
      <c r="B45" s="18">
        <v>31711</v>
      </c>
      <c r="C45" s="11" t="str">
        <f t="shared" si="4"/>
        <v>Support calculateur gestion batterie HT</v>
      </c>
      <c r="D45" s="11" t="s">
        <v>400</v>
      </c>
      <c r="E45" s="11"/>
      <c r="F45" s="11"/>
      <c r="G45" s="11"/>
      <c r="H45" s="11"/>
      <c r="I45" s="11"/>
      <c r="J45" s="11"/>
      <c r="K45" s="11"/>
      <c r="L45" s="11"/>
      <c r="M45" s="27"/>
    </row>
    <row r="46" spans="2:13">
      <c r="B46" s="18">
        <v>31712</v>
      </c>
      <c r="C46" s="11" t="str">
        <f t="shared" si="4"/>
        <v>Deuxiéme support calculateur gestion batterie HT</v>
      </c>
      <c r="D46" s="11" t="s">
        <v>401</v>
      </c>
      <c r="E46" s="11"/>
      <c r="F46" s="11"/>
      <c r="G46" s="11"/>
      <c r="H46" s="11"/>
      <c r="I46" s="11"/>
      <c r="J46" s="11"/>
      <c r="K46" s="11"/>
      <c r="L46" s="11"/>
      <c r="M46" s="27"/>
    </row>
    <row r="47" spans="2:13">
      <c r="B47" s="501">
        <v>-1</v>
      </c>
      <c r="C47" s="8" t="s">
        <v>402</v>
      </c>
      <c r="D47" s="8"/>
      <c r="E47" s="8"/>
      <c r="F47" s="8"/>
      <c r="G47" s="8"/>
      <c r="H47" s="8"/>
      <c r="I47" s="8"/>
      <c r="J47" s="8"/>
      <c r="K47" s="8"/>
      <c r="L47" s="8"/>
      <c r="M47" s="29"/>
    </row>
    <row r="48" spans="2:13">
      <c r="B48" s="18">
        <v>93</v>
      </c>
      <c r="C48" s="11" t="str">
        <f>D48</f>
        <v>Arrière</v>
      </c>
      <c r="D48" s="11" t="s">
        <v>707</v>
      </c>
      <c r="E48" s="11"/>
      <c r="F48" s="11"/>
      <c r="G48" s="11"/>
      <c r="H48" s="11"/>
      <c r="I48" s="11"/>
      <c r="J48" s="11"/>
      <c r="K48" s="11"/>
      <c r="L48" s="11"/>
      <c r="M48" s="27"/>
    </row>
    <row r="49" spans="2:13">
      <c r="B49" s="501">
        <v>-1</v>
      </c>
      <c r="C49" s="8" t="s">
        <v>408</v>
      </c>
      <c r="D49" s="8"/>
      <c r="E49" s="8"/>
      <c r="F49" s="8"/>
      <c r="G49" s="8"/>
      <c r="H49" s="8"/>
      <c r="I49" s="8"/>
      <c r="J49" s="8"/>
      <c r="K49" s="8"/>
      <c r="L49" s="8"/>
      <c r="M49" s="29"/>
    </row>
    <row r="50" spans="2:13">
      <c r="B50" s="18">
        <v>92</v>
      </c>
      <c r="C50" s="11" t="str">
        <f t="shared" ref="C50:C51" si="5">D50</f>
        <v>Avant</v>
      </c>
      <c r="D50" s="11" t="s">
        <v>709</v>
      </c>
      <c r="E50" s="11"/>
      <c r="F50" s="11"/>
      <c r="G50" s="11"/>
      <c r="H50" s="11"/>
      <c r="I50" s="11"/>
      <c r="J50" s="11"/>
      <c r="K50" s="11"/>
      <c r="L50" s="11"/>
      <c r="M50" s="27"/>
    </row>
    <row r="51" spans="2:13">
      <c r="B51" s="18">
        <v>5732</v>
      </c>
      <c r="C51" s="11" t="str">
        <f t="shared" si="5"/>
        <v>Calandre</v>
      </c>
      <c r="D51" s="11" t="s">
        <v>2087</v>
      </c>
      <c r="E51" s="11"/>
      <c r="F51" s="11"/>
      <c r="G51" s="11"/>
      <c r="H51" s="11"/>
      <c r="I51" s="11"/>
      <c r="J51" s="11"/>
      <c r="K51" s="11"/>
      <c r="L51" s="11"/>
      <c r="M51" s="27"/>
    </row>
    <row r="52" spans="2:13">
      <c r="B52" s="501">
        <v>-1</v>
      </c>
      <c r="C52" s="8" t="s">
        <v>1033</v>
      </c>
      <c r="D52" s="8"/>
      <c r="E52" s="8"/>
      <c r="F52" s="8"/>
      <c r="G52" s="8"/>
      <c r="H52" s="8"/>
      <c r="I52" s="8"/>
      <c r="J52" s="8"/>
      <c r="K52" s="8"/>
      <c r="L52" s="8"/>
      <c r="M52" s="29"/>
    </row>
    <row r="53" spans="2:13">
      <c r="B53" s="18">
        <v>-1</v>
      </c>
      <c r="C53" s="11" t="str">
        <f t="shared" ref="C53:C59" si="6">D53</f>
        <v>4x4</v>
      </c>
      <c r="D53" s="11" t="s">
        <v>417</v>
      </c>
      <c r="E53" s="11"/>
      <c r="F53" s="11"/>
      <c r="G53" s="11"/>
      <c r="H53" s="11"/>
      <c r="I53" s="11"/>
      <c r="J53" s="11"/>
      <c r="K53" s="11"/>
      <c r="L53" s="11"/>
      <c r="M53" s="27"/>
    </row>
    <row r="54" spans="2:13">
      <c r="B54" s="18">
        <v>-1</v>
      </c>
      <c r="C54" s="11" t="str">
        <f t="shared" si="6"/>
        <v>BVA</v>
      </c>
      <c r="D54" s="11" t="s">
        <v>421</v>
      </c>
      <c r="E54" s="11"/>
      <c r="F54" s="11"/>
      <c r="G54" s="11"/>
      <c r="H54" s="11"/>
      <c r="I54" s="11"/>
      <c r="J54" s="11"/>
      <c r="K54" s="11"/>
      <c r="L54" s="11"/>
      <c r="M54" s="27"/>
    </row>
    <row r="55" spans="2:13">
      <c r="B55" s="18">
        <v>-1</v>
      </c>
      <c r="C55" s="11" t="str">
        <f t="shared" si="6"/>
        <v>BVM</v>
      </c>
      <c r="D55" s="11" t="s">
        <v>425</v>
      </c>
      <c r="E55" s="11"/>
      <c r="F55" s="11"/>
      <c r="G55" s="11"/>
      <c r="H55" s="11"/>
      <c r="I55" s="11"/>
      <c r="J55" s="11"/>
      <c r="K55" s="11"/>
      <c r="L55" s="11"/>
      <c r="M55" s="27"/>
    </row>
    <row r="56" spans="2:13">
      <c r="B56" s="18">
        <v>-1</v>
      </c>
      <c r="C56" s="11" t="str">
        <f t="shared" si="6"/>
        <v>COUPLAGE</v>
      </c>
      <c r="D56" s="11" t="s">
        <v>429</v>
      </c>
      <c r="E56" s="11"/>
      <c r="F56" s="11"/>
      <c r="G56" s="11"/>
      <c r="H56" s="11"/>
      <c r="I56" s="11"/>
      <c r="J56" s="11"/>
      <c r="K56" s="11"/>
      <c r="L56" s="11"/>
      <c r="M56" s="27"/>
    </row>
    <row r="57" spans="2:13">
      <c r="B57" s="18">
        <v>-1</v>
      </c>
      <c r="C57" s="11" t="str">
        <f t="shared" si="6"/>
        <v>HUILE BOITE</v>
      </c>
      <c r="D57" s="11" t="s">
        <v>3461</v>
      </c>
      <c r="E57" s="11"/>
      <c r="F57" s="11"/>
      <c r="G57" s="11"/>
      <c r="H57" s="11"/>
      <c r="I57" s="11"/>
      <c r="J57" s="11"/>
      <c r="K57" s="11"/>
      <c r="L57" s="11"/>
      <c r="M57" s="27"/>
    </row>
    <row r="58" spans="2:13">
      <c r="B58" s="18">
        <v>-1</v>
      </c>
      <c r="C58" s="11" t="str">
        <f t="shared" si="6"/>
        <v>REDUCTEUR AR</v>
      </c>
      <c r="D58" s="11" t="s">
        <v>431</v>
      </c>
      <c r="E58" s="11"/>
      <c r="F58" s="11"/>
      <c r="G58" s="11"/>
      <c r="H58" s="11"/>
      <c r="I58" s="11"/>
      <c r="J58" s="11"/>
      <c r="K58" s="11"/>
      <c r="L58" s="11"/>
      <c r="M58" s="27"/>
    </row>
    <row r="59" spans="2:13">
      <c r="B59" s="18">
        <v>-1</v>
      </c>
      <c r="C59" s="11" t="str">
        <f t="shared" si="6"/>
        <v>REDUCTEUR AV</v>
      </c>
      <c r="D59" s="11" t="s">
        <v>435</v>
      </c>
      <c r="E59" s="11"/>
      <c r="F59" s="11"/>
      <c r="G59" s="11"/>
      <c r="H59" s="11"/>
      <c r="I59" s="11"/>
      <c r="J59" s="11"/>
      <c r="K59" s="11"/>
      <c r="L59" s="11"/>
      <c r="M59" s="27"/>
    </row>
    <row r="60" spans="2:13">
      <c r="B60" s="501">
        <v>-1</v>
      </c>
      <c r="C60" s="8" t="s">
        <v>439</v>
      </c>
      <c r="D60" s="8"/>
      <c r="E60" s="8"/>
      <c r="F60" s="8"/>
      <c r="G60" s="8"/>
      <c r="H60" s="8"/>
      <c r="I60" s="8"/>
      <c r="J60" s="8"/>
      <c r="K60" s="8"/>
      <c r="L60" s="8"/>
      <c r="M60" s="29"/>
    </row>
    <row r="61" spans="2:13">
      <c r="B61" s="18">
        <v>6830</v>
      </c>
      <c r="C61" s="11" t="str">
        <f t="shared" ref="C61:C65" si="7">D61</f>
        <v>Renfort de caisse</v>
      </c>
      <c r="D61" s="11" t="s">
        <v>3462</v>
      </c>
      <c r="E61" s="11"/>
      <c r="F61" s="11"/>
      <c r="G61" s="11"/>
      <c r="H61" s="11"/>
      <c r="I61" s="11"/>
      <c r="J61" s="11"/>
      <c r="K61" s="11"/>
      <c r="L61" s="11"/>
      <c r="M61" s="27"/>
    </row>
    <row r="62" spans="2:13">
      <c r="B62" s="18">
        <v>1375</v>
      </c>
      <c r="C62" s="11" t="str">
        <f t="shared" si="7"/>
        <v>Tablier coté conducteur / unique</v>
      </c>
      <c r="D62" s="11" t="s">
        <v>3463</v>
      </c>
      <c r="E62" s="11"/>
      <c r="F62" s="11"/>
      <c r="G62" s="11"/>
      <c r="H62" s="11"/>
      <c r="I62" s="11"/>
      <c r="J62" s="11"/>
      <c r="K62" s="11"/>
      <c r="L62" s="11"/>
      <c r="M62" s="27"/>
    </row>
    <row r="63" spans="2:13">
      <c r="B63" s="18">
        <v>13167</v>
      </c>
      <c r="C63" s="11" t="str">
        <f t="shared" si="7"/>
        <v>Tablier coté passager</v>
      </c>
      <c r="D63" s="11" t="s">
        <v>3464</v>
      </c>
      <c r="E63" s="11"/>
      <c r="F63" s="11"/>
      <c r="G63" s="11"/>
      <c r="H63" s="11"/>
      <c r="I63" s="11"/>
      <c r="J63" s="11"/>
      <c r="K63" s="11"/>
      <c r="L63" s="11"/>
      <c r="M63" s="27"/>
    </row>
    <row r="64" spans="2:13">
      <c r="B64" s="18">
        <v>5665</v>
      </c>
      <c r="C64" s="11" t="str">
        <f t="shared" si="7"/>
        <v>Bac de rangement arrière 1</v>
      </c>
      <c r="D64" s="11" t="s">
        <v>3465</v>
      </c>
      <c r="E64" s="11"/>
      <c r="F64" s="11"/>
      <c r="G64" s="11"/>
      <c r="H64" s="11"/>
      <c r="I64" s="11"/>
      <c r="J64" s="11"/>
      <c r="K64" s="11"/>
      <c r="L64" s="11"/>
      <c r="M64" s="27"/>
    </row>
    <row r="65" spans="2:13">
      <c r="B65" s="18">
        <v>2523</v>
      </c>
      <c r="C65" s="11" t="str">
        <f t="shared" si="7"/>
        <v>Caisse en blanc (avec peinture)</v>
      </c>
      <c r="D65" s="11" t="s">
        <v>2677</v>
      </c>
      <c r="E65" s="11"/>
      <c r="F65" s="11"/>
      <c r="G65" s="11"/>
      <c r="H65" s="11"/>
      <c r="I65" s="11"/>
      <c r="J65" s="11"/>
      <c r="K65" s="11"/>
      <c r="L65" s="11"/>
      <c r="M65" s="27"/>
    </row>
    <row r="66" spans="2:13">
      <c r="B66" s="501">
        <v>-1</v>
      </c>
      <c r="C66" s="8" t="s">
        <v>454</v>
      </c>
      <c r="D66" s="8"/>
      <c r="E66" s="8"/>
      <c r="F66" s="8"/>
      <c r="G66" s="8"/>
      <c r="H66" s="8"/>
      <c r="I66" s="8"/>
      <c r="J66" s="8"/>
      <c r="K66" s="8"/>
      <c r="L66" s="8"/>
      <c r="M66" s="29"/>
    </row>
    <row r="67" spans="2:13">
      <c r="B67" s="18">
        <v>-1</v>
      </c>
      <c r="C67" s="11" t="str">
        <f t="shared" ref="C67:C68" si="8">D67</f>
        <v>EQUIPEMENT CAPOT</v>
      </c>
      <c r="D67" s="11" t="s">
        <v>2115</v>
      </c>
      <c r="E67" s="11"/>
      <c r="F67" s="11"/>
      <c r="G67" s="11"/>
      <c r="H67" s="11"/>
      <c r="I67" s="11"/>
      <c r="J67" s="11"/>
      <c r="K67" s="11"/>
      <c r="L67" s="11"/>
      <c r="M67" s="27"/>
    </row>
    <row r="68" spans="2:13">
      <c r="B68" s="18">
        <v>-1</v>
      </c>
      <c r="C68" s="11" t="str">
        <f t="shared" si="8"/>
        <v>TOLERIE CAPOT</v>
      </c>
      <c r="D68" s="11" t="s">
        <v>2102</v>
      </c>
      <c r="E68" s="11"/>
      <c r="F68" s="11"/>
      <c r="G68" s="11"/>
      <c r="H68" s="11"/>
      <c r="I68" s="11"/>
      <c r="J68" s="11"/>
      <c r="K68" s="11"/>
      <c r="L68" s="11"/>
      <c r="M68" s="27"/>
    </row>
    <row r="69" spans="2:13">
      <c r="B69" s="501">
        <v>-1</v>
      </c>
      <c r="C69" s="8" t="s">
        <v>463</v>
      </c>
      <c r="D69" s="8"/>
      <c r="E69" s="8"/>
      <c r="F69" s="8"/>
      <c r="G69" s="8"/>
      <c r="H69" s="8"/>
      <c r="I69" s="8"/>
      <c r="J69" s="8"/>
      <c r="K69" s="8"/>
      <c r="L69" s="8"/>
      <c r="M69" s="29"/>
    </row>
    <row r="70" spans="2:13">
      <c r="B70" s="18">
        <v>4151</v>
      </c>
      <c r="C70" s="11" t="str">
        <f t="shared" ref="C70:C72" si="9">D70</f>
        <v>Système toit ouvrant</v>
      </c>
      <c r="D70" s="11" t="s">
        <v>3466</v>
      </c>
      <c r="E70" s="11"/>
      <c r="F70" s="11"/>
      <c r="G70" s="11"/>
      <c r="H70" s="11"/>
      <c r="I70" s="11"/>
      <c r="J70" s="11"/>
      <c r="K70" s="11"/>
      <c r="L70" s="11"/>
      <c r="M70" s="27"/>
    </row>
    <row r="71" spans="2:13">
      <c r="B71" s="18">
        <v>7726</v>
      </c>
      <c r="C71" s="11" t="str">
        <f t="shared" si="9"/>
        <v>Toit panoramique</v>
      </c>
      <c r="D71" s="11" t="s">
        <v>3467</v>
      </c>
      <c r="E71" s="11"/>
      <c r="F71" s="11"/>
      <c r="G71" s="11"/>
      <c r="H71" s="11"/>
      <c r="I71" s="11"/>
      <c r="J71" s="11"/>
      <c r="K71" s="11"/>
      <c r="L71" s="11"/>
      <c r="M71" s="27"/>
    </row>
    <row r="72" spans="2:13">
      <c r="B72" s="18">
        <v>34257</v>
      </c>
      <c r="C72" s="11" t="str">
        <f t="shared" si="9"/>
        <v>Vitre de toit</v>
      </c>
      <c r="D72" s="11" t="s">
        <v>3468</v>
      </c>
      <c r="E72" s="11"/>
      <c r="F72" s="11"/>
      <c r="G72" s="11"/>
      <c r="H72" s="11"/>
      <c r="I72" s="11"/>
      <c r="J72" s="11"/>
      <c r="K72" s="11"/>
      <c r="L72" s="11"/>
      <c r="M72" s="27"/>
    </row>
    <row r="73" spans="2:13">
      <c r="B73" s="501">
        <v>-1</v>
      </c>
      <c r="C73" s="8" t="s">
        <v>1747</v>
      </c>
      <c r="D73" s="8"/>
      <c r="E73" s="8"/>
      <c r="F73" s="8"/>
      <c r="G73" s="8"/>
      <c r="H73" s="8"/>
      <c r="I73" s="8"/>
      <c r="J73" s="8"/>
      <c r="K73" s="8"/>
      <c r="L73" s="8"/>
      <c r="M73" s="29"/>
    </row>
    <row r="74" spans="2:13">
      <c r="B74" s="18">
        <v>128</v>
      </c>
      <c r="C74" s="11" t="str">
        <f>D74</f>
        <v>Colonne de direction</v>
      </c>
      <c r="D74" s="11" t="s">
        <v>471</v>
      </c>
      <c r="E74" s="11"/>
      <c r="F74" s="11"/>
      <c r="G74" s="11"/>
      <c r="H74" s="11"/>
      <c r="I74" s="11"/>
      <c r="J74" s="11"/>
      <c r="K74" s="11"/>
      <c r="L74" s="11"/>
      <c r="M74" s="27"/>
    </row>
    <row r="75" spans="2:13">
      <c r="B75" s="501">
        <v>-1</v>
      </c>
      <c r="C75" s="8" t="s">
        <v>481</v>
      </c>
      <c r="D75" s="8"/>
      <c r="E75" s="8"/>
      <c r="F75" s="8"/>
      <c r="G75" s="8"/>
      <c r="H75" s="8"/>
      <c r="I75" s="8"/>
      <c r="J75" s="8"/>
      <c r="K75" s="8"/>
      <c r="L75" s="8"/>
      <c r="M75" s="29"/>
    </row>
    <row r="76" spans="2:13">
      <c r="B76" s="18">
        <v>3097</v>
      </c>
      <c r="C76" s="11" t="str">
        <f t="shared" ref="C76:C139" si="10">D76</f>
        <v>Garnitures latérales</v>
      </c>
      <c r="D76" s="11" t="s">
        <v>3469</v>
      </c>
      <c r="E76" s="11"/>
      <c r="F76" s="11"/>
      <c r="G76" s="11"/>
      <c r="H76" s="11"/>
      <c r="I76" s="11"/>
      <c r="J76" s="11"/>
      <c r="K76" s="11"/>
      <c r="L76" s="11"/>
      <c r="M76" s="27"/>
    </row>
    <row r="77" spans="2:13">
      <c r="B77" s="18">
        <v>3760</v>
      </c>
      <c r="C77" s="11" t="str">
        <f t="shared" si="10"/>
        <v>Partie supérieure</v>
      </c>
      <c r="D77" s="11" t="s">
        <v>3470</v>
      </c>
      <c r="E77" s="11"/>
      <c r="F77" s="11"/>
      <c r="G77" s="11"/>
      <c r="H77" s="11"/>
      <c r="I77" s="11"/>
      <c r="J77" s="11"/>
      <c r="K77" s="11"/>
      <c r="L77" s="11"/>
      <c r="M77" s="27"/>
    </row>
    <row r="78" spans="2:13">
      <c r="B78" s="18">
        <v>12320</v>
      </c>
      <c r="C78" s="11" t="str">
        <f t="shared" si="10"/>
        <v>Console centrale</v>
      </c>
      <c r="D78" s="11" t="s">
        <v>483</v>
      </c>
      <c r="E78" s="11"/>
      <c r="F78" s="11"/>
      <c r="G78" s="11"/>
      <c r="H78" s="11"/>
      <c r="I78" s="11"/>
      <c r="J78" s="11"/>
      <c r="K78" s="11"/>
      <c r="L78" s="11"/>
      <c r="M78" s="27"/>
    </row>
    <row r="79" spans="2:13">
      <c r="B79" s="18">
        <v>2991</v>
      </c>
      <c r="C79" s="11" t="str">
        <f t="shared" si="10"/>
        <v>Garniture arrière 1</v>
      </c>
      <c r="D79" s="11" t="s">
        <v>3471</v>
      </c>
      <c r="E79" s="11"/>
      <c r="F79" s="11"/>
      <c r="G79" s="11"/>
      <c r="H79" s="11"/>
      <c r="I79" s="11"/>
      <c r="J79" s="11"/>
      <c r="K79" s="11"/>
      <c r="L79" s="11"/>
      <c r="M79" s="27"/>
    </row>
    <row r="80" spans="2:13">
      <c r="B80" s="18">
        <v>1371</v>
      </c>
      <c r="C80" s="11" t="str">
        <f t="shared" si="10"/>
        <v>Supports</v>
      </c>
      <c r="D80" s="11" t="s">
        <v>3472</v>
      </c>
      <c r="E80" s="11"/>
      <c r="F80" s="11"/>
      <c r="G80" s="11"/>
      <c r="H80" s="11"/>
      <c r="I80" s="11"/>
      <c r="J80" s="11"/>
      <c r="K80" s="11"/>
      <c r="L80" s="11"/>
      <c r="M80" s="27"/>
    </row>
    <row r="81" spans="2:13">
      <c r="B81" s="18">
        <v>1758</v>
      </c>
      <c r="C81" s="11" t="str">
        <f t="shared" si="10"/>
        <v>Instrumentation</v>
      </c>
      <c r="D81" s="11" t="s">
        <v>3473</v>
      </c>
      <c r="E81" s="11"/>
      <c r="F81" s="11"/>
      <c r="G81" s="11"/>
      <c r="H81" s="11"/>
      <c r="I81" s="11"/>
      <c r="J81" s="11"/>
      <c r="K81" s="11"/>
      <c r="L81" s="11"/>
      <c r="M81" s="27"/>
    </row>
    <row r="82" spans="2:13">
      <c r="B82" s="18">
        <v>1757</v>
      </c>
      <c r="C82" s="11" t="str">
        <f t="shared" si="10"/>
        <v>Cendrier</v>
      </c>
      <c r="D82" s="11" t="s">
        <v>3474</v>
      </c>
      <c r="E82" s="11"/>
      <c r="F82" s="11"/>
      <c r="G82" s="11"/>
      <c r="H82" s="11"/>
      <c r="I82" s="11"/>
      <c r="J82" s="11"/>
      <c r="K82" s="11"/>
      <c r="L82" s="11"/>
      <c r="M82" s="27"/>
    </row>
    <row r="83" spans="2:13">
      <c r="B83" s="18">
        <v>12540</v>
      </c>
      <c r="C83" s="11" t="str">
        <f t="shared" si="10"/>
        <v>Rangement avant</v>
      </c>
      <c r="D83" s="11" t="s">
        <v>3475</v>
      </c>
      <c r="E83" s="11"/>
      <c r="F83" s="11"/>
      <c r="G83" s="11"/>
      <c r="H83" s="11"/>
      <c r="I83" s="11"/>
      <c r="J83" s="11"/>
      <c r="K83" s="11"/>
      <c r="L83" s="11"/>
      <c r="M83" s="27"/>
    </row>
    <row r="84" spans="2:13">
      <c r="B84" s="18">
        <v>12536</v>
      </c>
      <c r="C84" s="11" t="str">
        <f t="shared" si="10"/>
        <v>Rangement central</v>
      </c>
      <c r="D84" s="11" t="s">
        <v>3476</v>
      </c>
      <c r="E84" s="11"/>
      <c r="F84" s="11"/>
      <c r="G84" s="11"/>
      <c r="H84" s="11"/>
      <c r="I84" s="11"/>
      <c r="J84" s="11"/>
      <c r="K84" s="11"/>
      <c r="L84" s="11"/>
      <c r="M84" s="27"/>
    </row>
    <row r="85" spans="2:13">
      <c r="B85" s="18">
        <v>2588</v>
      </c>
      <c r="C85" s="11" t="str">
        <f t="shared" si="10"/>
        <v>Rangement arrière (accoudoir)</v>
      </c>
      <c r="D85" s="11" t="s">
        <v>3477</v>
      </c>
      <c r="E85" s="11"/>
      <c r="F85" s="11"/>
      <c r="G85" s="11"/>
      <c r="H85" s="11"/>
      <c r="I85" s="11"/>
      <c r="J85" s="11"/>
      <c r="K85" s="11"/>
      <c r="L85" s="11"/>
      <c r="M85" s="27"/>
    </row>
    <row r="86" spans="2:13">
      <c r="B86" s="18">
        <v>12004</v>
      </c>
      <c r="C86" s="11" t="str">
        <f t="shared" si="10"/>
        <v>Rangement rang 2</v>
      </c>
      <c r="D86" s="11" t="s">
        <v>3478</v>
      </c>
      <c r="E86" s="11"/>
      <c r="F86" s="11"/>
      <c r="G86" s="11"/>
      <c r="H86" s="11"/>
      <c r="I86" s="11"/>
      <c r="J86" s="11"/>
      <c r="K86" s="11"/>
      <c r="L86" s="11"/>
      <c r="M86" s="27"/>
    </row>
    <row r="87" spans="2:13">
      <c r="B87" s="18">
        <v>12317</v>
      </c>
      <c r="C87" s="11" t="str">
        <f t="shared" si="10"/>
        <v>Garniture avant</v>
      </c>
      <c r="D87" s="11" t="s">
        <v>3479</v>
      </c>
      <c r="E87" s="11"/>
      <c r="F87" s="11"/>
      <c r="G87" s="11"/>
      <c r="H87" s="11"/>
      <c r="I87" s="11"/>
      <c r="J87" s="11"/>
      <c r="K87" s="11"/>
      <c r="L87" s="11"/>
      <c r="M87" s="27"/>
    </row>
    <row r="88" spans="2:13">
      <c r="B88" s="18">
        <v>14074</v>
      </c>
      <c r="C88" s="11" t="str">
        <f t="shared" si="10"/>
        <v>Garniture arrière</v>
      </c>
      <c r="D88" s="11" t="s">
        <v>3480</v>
      </c>
      <c r="E88" s="11"/>
      <c r="F88" s="11"/>
      <c r="G88" s="11"/>
      <c r="H88" s="11"/>
      <c r="I88" s="11"/>
      <c r="J88" s="11"/>
      <c r="K88" s="11"/>
      <c r="L88" s="11"/>
      <c r="M88" s="27"/>
    </row>
    <row r="89" spans="2:13">
      <c r="B89" s="18">
        <v>1842</v>
      </c>
      <c r="C89" s="11" t="str">
        <f t="shared" si="10"/>
        <v>Aérateur</v>
      </c>
      <c r="D89" s="11" t="s">
        <v>3481</v>
      </c>
      <c r="E89" s="11"/>
      <c r="F89" s="11"/>
      <c r="G89" s="11"/>
      <c r="H89" s="11"/>
      <c r="I89" s="11"/>
      <c r="J89" s="11"/>
      <c r="K89" s="11"/>
      <c r="L89" s="11"/>
      <c r="M89" s="27"/>
    </row>
    <row r="90" spans="2:13">
      <c r="B90" s="18">
        <v>26418</v>
      </c>
      <c r="C90" s="11" t="str">
        <f t="shared" si="10"/>
        <v>Support aerateur</v>
      </c>
      <c r="D90" s="11" t="s">
        <v>3482</v>
      </c>
      <c r="E90" s="11"/>
      <c r="F90" s="11"/>
      <c r="G90" s="11"/>
      <c r="H90" s="11"/>
      <c r="I90" s="11"/>
      <c r="J90" s="11"/>
      <c r="K90" s="11"/>
      <c r="L90" s="11"/>
      <c r="M90" s="27"/>
    </row>
    <row r="91" spans="2:13">
      <c r="B91" s="18">
        <v>6286</v>
      </c>
      <c r="C91" s="11" t="str">
        <f t="shared" si="10"/>
        <v>Enjoliveur aerateur</v>
      </c>
      <c r="D91" s="11" t="s">
        <v>3483</v>
      </c>
      <c r="E91" s="11"/>
      <c r="F91" s="11"/>
      <c r="G91" s="11"/>
      <c r="H91" s="11"/>
      <c r="I91" s="11"/>
      <c r="J91" s="11"/>
      <c r="K91" s="11"/>
      <c r="L91" s="11"/>
      <c r="M91" s="27"/>
    </row>
    <row r="92" spans="2:13">
      <c r="B92" s="18">
        <v>2576</v>
      </c>
      <c r="C92" s="11" t="str">
        <f t="shared" si="10"/>
        <v>Porte gobelets</v>
      </c>
      <c r="D92" s="11" t="s">
        <v>3484</v>
      </c>
      <c r="E92" s="11"/>
      <c r="F92" s="11"/>
      <c r="G92" s="11"/>
      <c r="H92" s="11"/>
      <c r="I92" s="11"/>
      <c r="J92" s="11"/>
      <c r="K92" s="11"/>
      <c r="L92" s="11"/>
      <c r="M92" s="27"/>
    </row>
    <row r="93" spans="2:13">
      <c r="B93" s="18">
        <v>13613</v>
      </c>
      <c r="C93" s="11" t="str">
        <f t="shared" si="10"/>
        <v>Système support téléphone</v>
      </c>
      <c r="D93" s="11" t="s">
        <v>3485</v>
      </c>
      <c r="E93" s="11"/>
      <c r="F93" s="11"/>
      <c r="G93" s="11"/>
      <c r="H93" s="11"/>
      <c r="I93" s="11"/>
      <c r="J93" s="11"/>
      <c r="K93" s="11"/>
      <c r="L93" s="11"/>
      <c r="M93" s="27"/>
    </row>
    <row r="94" spans="2:13">
      <c r="B94" s="18">
        <v>5488</v>
      </c>
      <c r="C94" s="11" t="str">
        <f t="shared" si="10"/>
        <v>Système poignée</v>
      </c>
      <c r="D94" s="11" t="s">
        <v>3486</v>
      </c>
      <c r="E94" s="11"/>
      <c r="F94" s="11"/>
      <c r="G94" s="11"/>
      <c r="H94" s="11"/>
      <c r="I94" s="11"/>
      <c r="J94" s="11"/>
      <c r="K94" s="11"/>
      <c r="L94" s="11"/>
      <c r="M94" s="27"/>
    </row>
    <row r="95" spans="2:13">
      <c r="B95" s="18">
        <v>5609</v>
      </c>
      <c r="C95" s="11" t="str">
        <f t="shared" si="10"/>
        <v>Accoudoir</v>
      </c>
      <c r="D95" s="11" t="s">
        <v>3487</v>
      </c>
      <c r="E95" s="11"/>
      <c r="F95" s="11"/>
      <c r="G95" s="11"/>
      <c r="H95" s="11"/>
      <c r="I95" s="11"/>
      <c r="J95" s="11"/>
      <c r="K95" s="11"/>
      <c r="L95" s="11"/>
      <c r="M95" s="27"/>
    </row>
    <row r="96" spans="2:13">
      <c r="B96" s="18">
        <v>12891</v>
      </c>
      <c r="C96" s="11" t="str">
        <f t="shared" si="10"/>
        <v>Seconde garniture avant</v>
      </c>
      <c r="D96" s="11" t="s">
        <v>3488</v>
      </c>
      <c r="E96" s="11"/>
      <c r="F96" s="11"/>
      <c r="G96" s="11"/>
      <c r="H96" s="11"/>
      <c r="I96" s="11"/>
      <c r="J96" s="11"/>
      <c r="K96" s="11"/>
      <c r="L96" s="11"/>
      <c r="M96" s="27"/>
    </row>
    <row r="97" spans="2:13">
      <c r="B97" s="18">
        <v>5509</v>
      </c>
      <c r="C97" s="11" t="str">
        <f t="shared" si="10"/>
        <v>Support de prise accessoire</v>
      </c>
      <c r="D97" s="11" t="s">
        <v>3489</v>
      </c>
      <c r="E97" s="11"/>
      <c r="F97" s="11"/>
      <c r="G97" s="11"/>
      <c r="H97" s="11"/>
      <c r="I97" s="11"/>
      <c r="J97" s="11"/>
      <c r="K97" s="11"/>
      <c r="L97" s="11"/>
      <c r="M97" s="27"/>
    </row>
    <row r="98" spans="2:13">
      <c r="B98" s="18">
        <v>5171</v>
      </c>
      <c r="C98" s="11" t="str">
        <f t="shared" si="10"/>
        <v>Renfort</v>
      </c>
      <c r="D98" s="11" t="s">
        <v>3490</v>
      </c>
      <c r="E98" s="11"/>
      <c r="F98" s="11"/>
      <c r="G98" s="11"/>
      <c r="H98" s="11"/>
      <c r="I98" s="11"/>
      <c r="J98" s="11"/>
      <c r="K98" s="11"/>
      <c r="L98" s="11"/>
      <c r="M98" s="27"/>
    </row>
    <row r="99" spans="2:13">
      <c r="B99" s="18">
        <v>4996</v>
      </c>
      <c r="C99" s="11" t="str">
        <f t="shared" si="10"/>
        <v>Filet de rangement</v>
      </c>
      <c r="D99" s="11" t="s">
        <v>3491</v>
      </c>
      <c r="E99" s="11"/>
      <c r="F99" s="11"/>
      <c r="G99" s="11"/>
      <c r="H99" s="11"/>
      <c r="I99" s="11"/>
      <c r="J99" s="11"/>
      <c r="K99" s="11"/>
      <c r="L99" s="11"/>
      <c r="M99" s="27"/>
    </row>
    <row r="100" spans="2:13">
      <c r="B100" s="18">
        <v>2754</v>
      </c>
      <c r="C100" s="11" t="str">
        <f t="shared" si="10"/>
        <v>Système frein a main</v>
      </c>
      <c r="D100" s="11" t="s">
        <v>3492</v>
      </c>
      <c r="E100" s="11"/>
      <c r="F100" s="11"/>
      <c r="G100" s="11"/>
      <c r="H100" s="11"/>
      <c r="I100" s="11"/>
      <c r="J100" s="11"/>
      <c r="K100" s="11"/>
      <c r="L100" s="11"/>
      <c r="M100" s="27"/>
    </row>
    <row r="101" spans="2:13">
      <c r="B101" s="18">
        <v>27447</v>
      </c>
      <c r="C101" s="11" t="str">
        <f t="shared" si="10"/>
        <v>Garniture arriere d accoudoir</v>
      </c>
      <c r="D101" s="11" t="s">
        <v>3493</v>
      </c>
      <c r="E101" s="11"/>
      <c r="F101" s="11"/>
      <c r="G101" s="11"/>
      <c r="H101" s="11"/>
      <c r="I101" s="11"/>
      <c r="J101" s="11"/>
      <c r="K101" s="11"/>
      <c r="L101" s="11"/>
      <c r="M101" s="27"/>
    </row>
    <row r="102" spans="2:13">
      <c r="B102" s="18">
        <v>5612</v>
      </c>
      <c r="C102" s="11" t="str">
        <f t="shared" si="10"/>
        <v>Commande de déverrouillage de console centrale</v>
      </c>
      <c r="D102" s="11" t="s">
        <v>3494</v>
      </c>
      <c r="E102" s="11"/>
      <c r="F102" s="11"/>
      <c r="G102" s="11"/>
      <c r="H102" s="11"/>
      <c r="I102" s="11"/>
      <c r="J102" s="11"/>
      <c r="K102" s="11"/>
      <c r="L102" s="11"/>
      <c r="M102" s="27"/>
    </row>
    <row r="103" spans="2:13">
      <c r="B103" s="18">
        <v>5624</v>
      </c>
      <c r="C103" s="11" t="str">
        <f t="shared" si="10"/>
        <v>Système rails de guidage</v>
      </c>
      <c r="D103" s="11" t="s">
        <v>3495</v>
      </c>
      <c r="E103" s="11"/>
      <c r="F103" s="11"/>
      <c r="G103" s="11"/>
      <c r="H103" s="11"/>
      <c r="I103" s="11"/>
      <c r="J103" s="11"/>
      <c r="K103" s="11"/>
      <c r="L103" s="11"/>
      <c r="M103" s="27"/>
    </row>
    <row r="104" spans="2:13">
      <c r="B104" s="18">
        <v>5963</v>
      </c>
      <c r="C104" s="11" t="str">
        <f t="shared" si="10"/>
        <v>Padding</v>
      </c>
      <c r="D104" s="11" t="s">
        <v>3496</v>
      </c>
      <c r="E104" s="11"/>
      <c r="F104" s="11"/>
      <c r="G104" s="11"/>
      <c r="H104" s="11"/>
      <c r="I104" s="11"/>
      <c r="J104" s="11"/>
      <c r="K104" s="11"/>
      <c r="L104" s="11"/>
      <c r="M104" s="27"/>
    </row>
    <row r="105" spans="2:13">
      <c r="B105" s="18">
        <v>6171</v>
      </c>
      <c r="C105" s="11" t="str">
        <f t="shared" si="10"/>
        <v>Porte pieces</v>
      </c>
      <c r="D105" s="11" t="s">
        <v>3497</v>
      </c>
      <c r="E105" s="11"/>
      <c r="F105" s="11"/>
      <c r="G105" s="11"/>
      <c r="H105" s="11"/>
      <c r="I105" s="11"/>
      <c r="J105" s="11"/>
      <c r="K105" s="11"/>
      <c r="L105" s="11"/>
      <c r="M105" s="27"/>
    </row>
    <row r="106" spans="2:13">
      <c r="B106" s="18">
        <v>28527</v>
      </c>
      <c r="C106" s="11" t="str">
        <f t="shared" si="10"/>
        <v>Support porte pièces</v>
      </c>
      <c r="D106" s="11" t="s">
        <v>3498</v>
      </c>
      <c r="E106" s="11"/>
      <c r="F106" s="11"/>
      <c r="G106" s="11"/>
      <c r="H106" s="11"/>
      <c r="I106" s="11"/>
      <c r="J106" s="11"/>
      <c r="K106" s="11"/>
      <c r="L106" s="11"/>
      <c r="M106" s="27"/>
    </row>
    <row r="107" spans="2:13">
      <c r="B107" s="18">
        <v>6816</v>
      </c>
      <c r="C107" s="11" t="str">
        <f t="shared" si="10"/>
        <v>Enjoliveur de commande avant</v>
      </c>
      <c r="D107" s="11" t="s">
        <v>3499</v>
      </c>
      <c r="E107" s="11"/>
      <c r="F107" s="11"/>
      <c r="G107" s="11"/>
      <c r="H107" s="11"/>
      <c r="I107" s="11"/>
      <c r="J107" s="11"/>
      <c r="K107" s="11"/>
      <c r="L107" s="11"/>
      <c r="M107" s="27"/>
    </row>
    <row r="108" spans="2:13">
      <c r="B108" s="18">
        <v>7332</v>
      </c>
      <c r="C108" s="11" t="str">
        <f t="shared" si="10"/>
        <v>Système de déverrouillage</v>
      </c>
      <c r="D108" s="11" t="s">
        <v>3500</v>
      </c>
      <c r="E108" s="11"/>
      <c r="F108" s="11"/>
      <c r="G108" s="11"/>
      <c r="H108" s="11"/>
      <c r="I108" s="11"/>
      <c r="J108" s="11"/>
      <c r="K108" s="11"/>
      <c r="L108" s="11"/>
      <c r="M108" s="27"/>
    </row>
    <row r="109" spans="2:13">
      <c r="B109" s="18">
        <v>10141</v>
      </c>
      <c r="C109" s="11" t="str">
        <f t="shared" si="10"/>
        <v>Porte carte</v>
      </c>
      <c r="D109" s="11" t="s">
        <v>3501</v>
      </c>
      <c r="E109" s="11"/>
      <c r="F109" s="11"/>
      <c r="G109" s="11"/>
      <c r="H109" s="11"/>
      <c r="I109" s="11"/>
      <c r="J109" s="11"/>
      <c r="K109" s="11"/>
      <c r="L109" s="11"/>
      <c r="M109" s="27"/>
    </row>
    <row r="110" spans="2:13">
      <c r="B110" s="18">
        <v>10585</v>
      </c>
      <c r="C110" s="11" t="str">
        <f t="shared" si="10"/>
        <v>Système ventilation</v>
      </c>
      <c r="D110" s="11" t="s">
        <v>3502</v>
      </c>
      <c r="E110" s="11"/>
      <c r="F110" s="11"/>
      <c r="G110" s="11"/>
      <c r="H110" s="11"/>
      <c r="I110" s="11"/>
      <c r="J110" s="11"/>
      <c r="K110" s="11"/>
      <c r="L110" s="11"/>
      <c r="M110" s="27"/>
    </row>
    <row r="111" spans="2:13">
      <c r="B111" s="18">
        <v>12321</v>
      </c>
      <c r="C111" s="11" t="str">
        <f t="shared" si="10"/>
        <v>Support de faisceau 1</v>
      </c>
      <c r="D111" s="11" t="s">
        <v>3503</v>
      </c>
      <c r="E111" s="11"/>
      <c r="F111" s="11"/>
      <c r="G111" s="11"/>
      <c r="H111" s="11"/>
      <c r="I111" s="11"/>
      <c r="J111" s="11"/>
      <c r="K111" s="11"/>
      <c r="L111" s="11"/>
      <c r="M111" s="27"/>
    </row>
    <row r="112" spans="2:13">
      <c r="B112" s="18">
        <v>27285</v>
      </c>
      <c r="C112" s="11" t="str">
        <f t="shared" si="10"/>
        <v>Système éclairage d'ambiance</v>
      </c>
      <c r="D112" s="11" t="s">
        <v>3504</v>
      </c>
      <c r="E112" s="11"/>
      <c r="F112" s="11"/>
      <c r="G112" s="11"/>
      <c r="H112" s="11"/>
      <c r="I112" s="11"/>
      <c r="J112" s="11"/>
      <c r="K112" s="11"/>
      <c r="L112" s="11"/>
      <c r="M112" s="27"/>
    </row>
    <row r="113" spans="2:13">
      <c r="B113" s="18">
        <v>28863</v>
      </c>
      <c r="C113" s="11" t="str">
        <f t="shared" si="10"/>
        <v>Enjoliveur avant</v>
      </c>
      <c r="D113" s="11" t="s">
        <v>3505</v>
      </c>
      <c r="E113" s="11"/>
      <c r="F113" s="11"/>
      <c r="G113" s="11"/>
      <c r="H113" s="11"/>
      <c r="I113" s="11"/>
      <c r="J113" s="11"/>
      <c r="K113" s="11"/>
      <c r="L113" s="11"/>
      <c r="M113" s="27"/>
    </row>
    <row r="114" spans="2:13">
      <c r="B114" s="18">
        <v>13359</v>
      </c>
      <c r="C114" s="11" t="str">
        <f t="shared" si="10"/>
        <v>Enjoliveur arrière</v>
      </c>
      <c r="D114" s="11" t="s">
        <v>3506</v>
      </c>
      <c r="E114" s="11"/>
      <c r="F114" s="11"/>
      <c r="G114" s="11"/>
      <c r="H114" s="11"/>
      <c r="I114" s="11"/>
      <c r="J114" s="11"/>
      <c r="K114" s="11"/>
      <c r="L114" s="11"/>
      <c r="M114" s="27"/>
    </row>
    <row r="115" spans="2:13">
      <c r="B115" s="18">
        <v>14655</v>
      </c>
      <c r="C115" s="11" t="str">
        <f t="shared" si="10"/>
        <v>Seconde garniture arrière</v>
      </c>
      <c r="D115" s="11" t="s">
        <v>3507</v>
      </c>
      <c r="E115" s="11"/>
      <c r="F115" s="11"/>
      <c r="G115" s="11"/>
      <c r="H115" s="11"/>
      <c r="I115" s="11"/>
      <c r="J115" s="11"/>
      <c r="K115" s="11"/>
      <c r="L115" s="11"/>
      <c r="M115" s="27"/>
    </row>
    <row r="116" spans="2:13">
      <c r="B116" s="18">
        <v>18303</v>
      </c>
      <c r="C116" s="11" t="str">
        <f t="shared" si="10"/>
        <v>Cache prise diagnostique</v>
      </c>
      <c r="D116" s="11" t="s">
        <v>3508</v>
      </c>
      <c r="E116" s="11"/>
      <c r="F116" s="11"/>
      <c r="G116" s="11"/>
      <c r="H116" s="11"/>
      <c r="I116" s="11"/>
      <c r="J116" s="11"/>
      <c r="K116" s="11"/>
      <c r="L116" s="11"/>
      <c r="M116" s="27"/>
    </row>
    <row r="117" spans="2:13">
      <c r="B117" s="18">
        <v>18361</v>
      </c>
      <c r="C117" s="11" t="str">
        <f t="shared" si="10"/>
        <v>Cache fixations</v>
      </c>
      <c r="D117" s="11" t="s">
        <v>3509</v>
      </c>
      <c r="E117" s="11"/>
      <c r="F117" s="11"/>
      <c r="G117" s="11"/>
      <c r="H117" s="11"/>
      <c r="I117" s="11"/>
      <c r="J117" s="11"/>
      <c r="K117" s="11"/>
      <c r="L117" s="11"/>
      <c r="M117" s="27"/>
    </row>
    <row r="118" spans="2:13">
      <c r="B118" s="18">
        <v>28557</v>
      </c>
      <c r="C118" s="11" t="str">
        <f t="shared" si="10"/>
        <v>Second cache fixations</v>
      </c>
      <c r="D118" s="11" t="s">
        <v>3510</v>
      </c>
      <c r="E118" s="11"/>
      <c r="F118" s="11"/>
      <c r="G118" s="11"/>
      <c r="H118" s="11"/>
      <c r="I118" s="11"/>
      <c r="J118" s="11"/>
      <c r="K118" s="11"/>
      <c r="L118" s="11"/>
      <c r="M118" s="27"/>
    </row>
    <row r="119" spans="2:13">
      <c r="B119" s="18">
        <v>18752</v>
      </c>
      <c r="C119" s="11" t="str">
        <f t="shared" si="10"/>
        <v>Butée amortissement</v>
      </c>
      <c r="D119" s="11" t="s">
        <v>3511</v>
      </c>
      <c r="E119" s="11"/>
      <c r="F119" s="11"/>
      <c r="G119" s="11"/>
      <c r="H119" s="11"/>
      <c r="I119" s="11"/>
      <c r="J119" s="11"/>
      <c r="K119" s="11"/>
      <c r="L119" s="11"/>
      <c r="M119" s="27"/>
    </row>
    <row r="120" spans="2:13">
      <c r="B120" s="18">
        <v>26155</v>
      </c>
      <c r="C120" s="11" t="str">
        <f t="shared" si="10"/>
        <v>Enjoliveur de fixation côté gauche</v>
      </c>
      <c r="D120" s="11" t="s">
        <v>3512</v>
      </c>
      <c r="E120" s="11"/>
      <c r="F120" s="11"/>
      <c r="G120" s="11"/>
      <c r="H120" s="11"/>
      <c r="I120" s="11"/>
      <c r="J120" s="11"/>
      <c r="K120" s="11"/>
      <c r="L120" s="11"/>
      <c r="M120" s="27"/>
    </row>
    <row r="121" spans="2:13">
      <c r="B121" s="18">
        <v>26156</v>
      </c>
      <c r="C121" s="11" t="str">
        <f t="shared" si="10"/>
        <v>Enjoliveur de fixation côté droit</v>
      </c>
      <c r="D121" s="11" t="s">
        <v>3513</v>
      </c>
      <c r="E121" s="11"/>
      <c r="F121" s="11"/>
      <c r="G121" s="11"/>
      <c r="H121" s="11"/>
      <c r="I121" s="11"/>
      <c r="J121" s="11"/>
      <c r="K121" s="11"/>
      <c r="L121" s="11"/>
      <c r="M121" s="27"/>
    </row>
    <row r="122" spans="2:13">
      <c r="B122" s="18">
        <v>27175</v>
      </c>
      <c r="C122" s="11" t="str">
        <f t="shared" si="10"/>
        <v>Receptacle clé</v>
      </c>
      <c r="D122" s="11" t="s">
        <v>3514</v>
      </c>
      <c r="E122" s="11"/>
      <c r="F122" s="11"/>
      <c r="G122" s="11"/>
      <c r="H122" s="11"/>
      <c r="I122" s="11"/>
      <c r="J122" s="11"/>
      <c r="K122" s="11"/>
      <c r="L122" s="11"/>
      <c r="M122" s="27"/>
    </row>
    <row r="123" spans="2:13">
      <c r="B123" s="18">
        <v>27269</v>
      </c>
      <c r="C123" s="11" t="str">
        <f t="shared" si="10"/>
        <v>Cache prise HT</v>
      </c>
      <c r="D123" s="11" t="s">
        <v>3515</v>
      </c>
      <c r="E123" s="11"/>
      <c r="F123" s="11"/>
      <c r="G123" s="11"/>
      <c r="H123" s="11"/>
      <c r="I123" s="11"/>
      <c r="J123" s="11"/>
      <c r="K123" s="11"/>
      <c r="L123" s="11"/>
      <c r="M123" s="27"/>
    </row>
    <row r="124" spans="2:13">
      <c r="B124" s="18">
        <v>27485</v>
      </c>
      <c r="C124" s="11" t="str">
        <f t="shared" si="10"/>
        <v>Support de connecteur electrique</v>
      </c>
      <c r="D124" s="11" t="s">
        <v>3516</v>
      </c>
      <c r="E124" s="11"/>
      <c r="F124" s="11"/>
      <c r="G124" s="11"/>
      <c r="H124" s="11"/>
      <c r="I124" s="11"/>
      <c r="J124" s="11"/>
      <c r="K124" s="11"/>
      <c r="L124" s="11"/>
      <c r="M124" s="27"/>
    </row>
    <row r="125" spans="2:13">
      <c r="B125" s="18">
        <v>27984</v>
      </c>
      <c r="C125" s="11" t="str">
        <f t="shared" si="10"/>
        <v>Trappe accès frein de parc</v>
      </c>
      <c r="D125" s="11" t="s">
        <v>3517</v>
      </c>
      <c r="E125" s="11"/>
      <c r="F125" s="11"/>
      <c r="G125" s="11"/>
      <c r="H125" s="11"/>
      <c r="I125" s="11"/>
      <c r="J125" s="11"/>
      <c r="K125" s="11"/>
      <c r="L125" s="11"/>
      <c r="M125" s="27"/>
    </row>
    <row r="126" spans="2:13">
      <c r="B126" s="18">
        <v>28909</v>
      </c>
      <c r="C126" s="11" t="str">
        <f t="shared" si="10"/>
        <v>Système audio 1</v>
      </c>
      <c r="D126" s="11" t="s">
        <v>3518</v>
      </c>
      <c r="E126" s="11"/>
      <c r="F126" s="11"/>
      <c r="G126" s="11"/>
      <c r="H126" s="11"/>
      <c r="I126" s="11"/>
      <c r="J126" s="11"/>
      <c r="K126" s="11"/>
      <c r="L126" s="11"/>
      <c r="M126" s="27"/>
    </row>
    <row r="127" spans="2:13">
      <c r="B127" s="18">
        <v>30972</v>
      </c>
      <c r="C127" s="11" t="str">
        <f t="shared" si="10"/>
        <v>Second enjoliveur aérateur</v>
      </c>
      <c r="D127" s="11" t="s">
        <v>3519</v>
      </c>
      <c r="E127" s="11"/>
      <c r="F127" s="11"/>
      <c r="G127" s="11"/>
      <c r="H127" s="11"/>
      <c r="I127" s="11"/>
      <c r="J127" s="11"/>
      <c r="K127" s="11"/>
      <c r="L127" s="11"/>
      <c r="M127" s="27"/>
    </row>
    <row r="128" spans="2:13">
      <c r="B128" s="18">
        <v>31375</v>
      </c>
      <c r="C128" s="11" t="str">
        <f t="shared" si="10"/>
        <v>Rangement latérale</v>
      </c>
      <c r="D128" s="11" t="s">
        <v>3520</v>
      </c>
      <c r="E128" s="11"/>
      <c r="F128" s="11"/>
      <c r="G128" s="11"/>
      <c r="H128" s="11"/>
      <c r="I128" s="11"/>
      <c r="J128" s="11"/>
      <c r="K128" s="11"/>
      <c r="L128" s="11"/>
      <c r="M128" s="27"/>
    </row>
    <row r="129" spans="2:13">
      <c r="B129" s="18">
        <v>35968</v>
      </c>
      <c r="C129" s="11" t="str">
        <f t="shared" si="10"/>
        <v>2eme aerateur</v>
      </c>
      <c r="D129" s="11" t="s">
        <v>3521</v>
      </c>
      <c r="E129" s="11"/>
      <c r="F129" s="11"/>
      <c r="G129" s="11"/>
      <c r="H129" s="11"/>
      <c r="I129" s="11"/>
      <c r="J129" s="11"/>
      <c r="K129" s="11"/>
      <c r="L129" s="11"/>
      <c r="M129" s="27"/>
    </row>
    <row r="130" spans="2:13">
      <c r="B130" s="18">
        <v>36023</v>
      </c>
      <c r="C130" s="11" t="str">
        <f t="shared" si="10"/>
        <v>Commande aerateur</v>
      </c>
      <c r="D130" s="11" t="s">
        <v>3522</v>
      </c>
      <c r="E130" s="11"/>
      <c r="F130" s="11"/>
      <c r="G130" s="11"/>
      <c r="H130" s="11"/>
      <c r="I130" s="11"/>
      <c r="J130" s="11"/>
      <c r="K130" s="11"/>
      <c r="L130" s="11"/>
      <c r="M130" s="27"/>
    </row>
    <row r="131" spans="2:13">
      <c r="B131" s="18">
        <v>35943</v>
      </c>
      <c r="C131" s="11" t="str">
        <f t="shared" si="10"/>
        <v>Eclairage commande d'event</v>
      </c>
      <c r="D131" s="11" t="s">
        <v>3523</v>
      </c>
      <c r="E131" s="11"/>
      <c r="F131" s="11"/>
      <c r="G131" s="11"/>
      <c r="H131" s="11"/>
      <c r="I131" s="11"/>
      <c r="J131" s="11"/>
      <c r="K131" s="11"/>
      <c r="L131" s="11"/>
      <c r="M131" s="27"/>
    </row>
    <row r="132" spans="2:13">
      <c r="B132" s="18">
        <v>36614</v>
      </c>
      <c r="C132" s="11" t="str">
        <f t="shared" si="10"/>
        <v>Support Commande aerateur</v>
      </c>
      <c r="D132" s="11" t="s">
        <v>3524</v>
      </c>
      <c r="E132" s="11"/>
      <c r="F132" s="11"/>
      <c r="G132" s="11"/>
      <c r="H132" s="11"/>
      <c r="I132" s="11"/>
      <c r="J132" s="11"/>
      <c r="K132" s="11"/>
      <c r="L132" s="11"/>
      <c r="M132" s="27"/>
    </row>
    <row r="133" spans="2:13">
      <c r="B133" s="18">
        <v>31265</v>
      </c>
      <c r="C133" s="11" t="str">
        <f t="shared" si="10"/>
        <v>Système Crochet</v>
      </c>
      <c r="D133" s="11" t="s">
        <v>3525</v>
      </c>
      <c r="E133" s="11"/>
      <c r="F133" s="11"/>
      <c r="G133" s="11"/>
      <c r="H133" s="11"/>
      <c r="I133" s="11"/>
      <c r="J133" s="11"/>
      <c r="K133" s="11"/>
      <c r="L133" s="11"/>
      <c r="M133" s="27"/>
    </row>
    <row r="134" spans="2:13">
      <c r="B134" s="18">
        <v>34194</v>
      </c>
      <c r="C134" s="11" t="str">
        <f t="shared" si="10"/>
        <v>Repose main</v>
      </c>
      <c r="D134" s="11" t="s">
        <v>3526</v>
      </c>
      <c r="E134" s="11"/>
      <c r="F134" s="11"/>
      <c r="G134" s="11"/>
      <c r="H134" s="11"/>
      <c r="I134" s="11"/>
      <c r="J134" s="11"/>
      <c r="K134" s="11"/>
      <c r="L134" s="11"/>
      <c r="M134" s="27"/>
    </row>
    <row r="135" spans="2:13">
      <c r="B135" s="18">
        <v>34410</v>
      </c>
      <c r="C135" s="11" t="str">
        <f t="shared" si="10"/>
        <v>Habillage inférieur</v>
      </c>
      <c r="D135" s="11" t="s">
        <v>3527</v>
      </c>
      <c r="E135" s="11"/>
      <c r="F135" s="11"/>
      <c r="G135" s="11"/>
      <c r="H135" s="11"/>
      <c r="I135" s="11"/>
      <c r="J135" s="11"/>
      <c r="K135" s="11"/>
      <c r="L135" s="11"/>
      <c r="M135" s="27"/>
    </row>
    <row r="136" spans="2:13">
      <c r="B136" s="18">
        <v>36562</v>
      </c>
      <c r="C136" s="11" t="str">
        <f t="shared" si="10"/>
        <v>Purificateur d'air</v>
      </c>
      <c r="D136" s="11" t="s">
        <v>3528</v>
      </c>
      <c r="E136" s="11"/>
      <c r="F136" s="11"/>
      <c r="G136" s="11"/>
      <c r="H136" s="11"/>
      <c r="I136" s="11"/>
      <c r="J136" s="11"/>
      <c r="K136" s="11"/>
      <c r="L136" s="11"/>
      <c r="M136" s="27"/>
    </row>
    <row r="137" spans="2:13">
      <c r="B137" s="18">
        <v>36563</v>
      </c>
      <c r="C137" s="11" t="str">
        <f t="shared" si="10"/>
        <v>Receptacle purificateur d'air</v>
      </c>
      <c r="D137" s="11" t="s">
        <v>3529</v>
      </c>
      <c r="E137" s="11"/>
      <c r="F137" s="11"/>
      <c r="G137" s="11"/>
      <c r="H137" s="11"/>
      <c r="I137" s="11"/>
      <c r="J137" s="11"/>
      <c r="K137" s="11"/>
      <c r="L137" s="11"/>
      <c r="M137" s="27"/>
    </row>
    <row r="138" spans="2:13">
      <c r="B138" s="18">
        <v>39392</v>
      </c>
      <c r="C138" s="11" t="str">
        <f t="shared" si="10"/>
        <v>Filtre purificateur d'air</v>
      </c>
      <c r="D138" s="11" t="s">
        <v>3530</v>
      </c>
      <c r="E138" s="11"/>
      <c r="F138" s="11"/>
      <c r="G138" s="11"/>
      <c r="H138" s="11"/>
      <c r="I138" s="11"/>
      <c r="J138" s="11"/>
      <c r="K138" s="11"/>
      <c r="L138" s="11"/>
      <c r="M138" s="27"/>
    </row>
    <row r="139" spans="2:13">
      <c r="B139" s="18">
        <v>39393</v>
      </c>
      <c r="C139" s="11" t="str">
        <f t="shared" si="10"/>
        <v>Support filtre purificateur d'air</v>
      </c>
      <c r="D139" s="11" t="s">
        <v>3531</v>
      </c>
      <c r="E139" s="11"/>
      <c r="F139" s="11"/>
      <c r="G139" s="11"/>
      <c r="H139" s="11"/>
      <c r="I139" s="11"/>
      <c r="J139" s="11"/>
      <c r="K139" s="11"/>
      <c r="L139" s="11"/>
      <c r="M139" s="27"/>
    </row>
    <row r="140" spans="2:13">
      <c r="B140" s="18">
        <v>39240</v>
      </c>
      <c r="C140" s="11" t="str">
        <f t="shared" ref="C140" si="11">D140</f>
        <v>Eclairage factice</v>
      </c>
      <c r="D140" s="11" t="s">
        <v>3532</v>
      </c>
      <c r="E140" s="11"/>
      <c r="F140" s="11"/>
      <c r="G140" s="11"/>
      <c r="H140" s="11"/>
      <c r="I140" s="11"/>
      <c r="J140" s="11"/>
      <c r="K140" s="11"/>
      <c r="L140" s="11"/>
      <c r="M140" s="27"/>
    </row>
    <row r="141" spans="2:13">
      <c r="B141" s="501">
        <v>-1</v>
      </c>
      <c r="C141" s="8" t="s">
        <v>489</v>
      </c>
      <c r="D141" s="8"/>
      <c r="E141" s="8"/>
      <c r="F141" s="8"/>
      <c r="G141" s="8"/>
      <c r="H141" s="8"/>
      <c r="I141" s="8"/>
      <c r="J141" s="8"/>
      <c r="K141" s="8"/>
      <c r="L141" s="8"/>
      <c r="M141" s="29"/>
    </row>
    <row r="142" spans="2:13">
      <c r="B142" s="18">
        <v>4976</v>
      </c>
      <c r="C142" s="11" t="str">
        <f t="shared" ref="C142:C153" si="12">D142</f>
        <v>Système barre de direction</v>
      </c>
      <c r="D142" s="11" t="s">
        <v>3533</v>
      </c>
      <c r="E142" s="11"/>
      <c r="F142" s="11"/>
      <c r="G142" s="11"/>
      <c r="H142" s="11"/>
      <c r="I142" s="11"/>
      <c r="J142" s="11"/>
      <c r="K142" s="11"/>
      <c r="L142" s="11"/>
      <c r="M142" s="27"/>
    </row>
    <row r="143" spans="2:13">
      <c r="B143" s="18">
        <v>2470</v>
      </c>
      <c r="C143" s="11" t="str">
        <f t="shared" si="12"/>
        <v>Réservoir de liquide de direction assistée</v>
      </c>
      <c r="D143" s="11" t="s">
        <v>3534</v>
      </c>
      <c r="E143" s="11"/>
      <c r="F143" s="11"/>
      <c r="G143" s="11"/>
      <c r="H143" s="11"/>
      <c r="I143" s="11"/>
      <c r="J143" s="11"/>
      <c r="K143" s="11"/>
      <c r="L143" s="11"/>
      <c r="M143" s="27"/>
    </row>
    <row r="144" spans="2:13">
      <c r="B144" s="18">
        <v>873</v>
      </c>
      <c r="C144" s="11" t="str">
        <f t="shared" si="12"/>
        <v>Conduit de retour assistance</v>
      </c>
      <c r="D144" s="11" t="s">
        <v>3535</v>
      </c>
      <c r="E144" s="11"/>
      <c r="F144" s="11"/>
      <c r="G144" s="11"/>
      <c r="H144" s="11"/>
      <c r="I144" s="11"/>
      <c r="J144" s="11"/>
      <c r="K144" s="11"/>
      <c r="L144" s="11"/>
      <c r="M144" s="27"/>
    </row>
    <row r="145" spans="2:13">
      <c r="B145" s="18">
        <v>872</v>
      </c>
      <c r="C145" s="11" t="str">
        <f t="shared" si="12"/>
        <v>Conduit de pression assistance</v>
      </c>
      <c r="D145" s="11" t="s">
        <v>3536</v>
      </c>
      <c r="E145" s="11"/>
      <c r="F145" s="11"/>
      <c r="G145" s="11"/>
      <c r="H145" s="11"/>
      <c r="I145" s="11"/>
      <c r="J145" s="11"/>
      <c r="K145" s="11"/>
      <c r="L145" s="11"/>
      <c r="M145" s="27"/>
    </row>
    <row r="146" spans="2:13">
      <c r="B146" s="18">
        <v>2499</v>
      </c>
      <c r="C146" s="11" t="str">
        <f t="shared" si="12"/>
        <v>Système groupe électro-pompe</v>
      </c>
      <c r="D146" s="11" t="s">
        <v>3537</v>
      </c>
      <c r="E146" s="11"/>
      <c r="F146" s="11"/>
      <c r="G146" s="11"/>
      <c r="H146" s="11"/>
      <c r="I146" s="11"/>
      <c r="J146" s="11"/>
      <c r="K146" s="11"/>
      <c r="L146" s="11"/>
      <c r="M146" s="27"/>
    </row>
    <row r="147" spans="2:13">
      <c r="B147" s="18">
        <v>1268</v>
      </c>
      <c r="C147" s="11" t="str">
        <f t="shared" si="12"/>
        <v>Système assistance électrique</v>
      </c>
      <c r="D147" s="11" t="s">
        <v>3538</v>
      </c>
      <c r="E147" s="11"/>
      <c r="F147" s="11"/>
      <c r="G147" s="11"/>
      <c r="H147" s="11"/>
      <c r="I147" s="11"/>
      <c r="J147" s="11"/>
      <c r="K147" s="11"/>
      <c r="L147" s="11"/>
      <c r="M147" s="27"/>
    </row>
    <row r="148" spans="2:13">
      <c r="B148" s="18">
        <v>2730</v>
      </c>
      <c r="C148" s="11" t="str">
        <f t="shared" si="12"/>
        <v>Pompe de direction assistée</v>
      </c>
      <c r="D148" s="11" t="s">
        <v>3539</v>
      </c>
      <c r="E148" s="11"/>
      <c r="F148" s="11"/>
      <c r="G148" s="11"/>
      <c r="H148" s="11"/>
      <c r="I148" s="11"/>
      <c r="J148" s="11"/>
      <c r="K148" s="11"/>
      <c r="L148" s="11"/>
      <c r="M148" s="27"/>
    </row>
    <row r="149" spans="2:13">
      <c r="B149" s="18">
        <v>6345</v>
      </c>
      <c r="C149" s="11" t="str">
        <f t="shared" si="12"/>
        <v>Système radiateur</v>
      </c>
      <c r="D149" s="11" t="s">
        <v>243</v>
      </c>
      <c r="E149" s="11"/>
      <c r="F149" s="11"/>
      <c r="G149" s="11"/>
      <c r="H149" s="11"/>
      <c r="I149" s="11"/>
      <c r="J149" s="11"/>
      <c r="K149" s="11"/>
      <c r="L149" s="11"/>
      <c r="M149" s="27"/>
    </row>
    <row r="150" spans="2:13">
      <c r="B150" s="18">
        <v>11423</v>
      </c>
      <c r="C150" s="11" t="str">
        <f t="shared" si="12"/>
        <v>Support de faisceau</v>
      </c>
      <c r="D150" s="11" t="s">
        <v>3540</v>
      </c>
      <c r="E150" s="11"/>
      <c r="F150" s="11"/>
      <c r="G150" s="11"/>
      <c r="H150" s="11"/>
      <c r="I150" s="11"/>
      <c r="J150" s="11"/>
      <c r="K150" s="11"/>
      <c r="L150" s="11"/>
      <c r="M150" s="27"/>
    </row>
    <row r="151" spans="2:13">
      <c r="B151" s="18">
        <v>9270</v>
      </c>
      <c r="C151" s="11" t="str">
        <f t="shared" si="12"/>
        <v>Conduit d alimentation</v>
      </c>
      <c r="D151" s="11" t="s">
        <v>3541</v>
      </c>
      <c r="E151" s="11"/>
      <c r="F151" s="11"/>
      <c r="G151" s="11"/>
      <c r="H151" s="11"/>
      <c r="I151" s="11"/>
      <c r="J151" s="11"/>
      <c r="K151" s="11"/>
      <c r="L151" s="11"/>
      <c r="M151" s="27"/>
    </row>
    <row r="152" spans="2:13">
      <c r="B152" s="18">
        <v>12560</v>
      </c>
      <c r="C152" s="11" t="str">
        <f t="shared" si="12"/>
        <v>Cache trou conduite inversée</v>
      </c>
      <c r="D152" s="11" t="s">
        <v>3542</v>
      </c>
      <c r="E152" s="11"/>
      <c r="F152" s="11"/>
      <c r="G152" s="11"/>
      <c r="H152" s="11"/>
      <c r="I152" s="11"/>
      <c r="J152" s="11"/>
      <c r="K152" s="11"/>
      <c r="L152" s="11"/>
      <c r="M152" s="27"/>
    </row>
    <row r="153" spans="2:13">
      <c r="B153" s="18">
        <v>5329</v>
      </c>
      <c r="C153" s="11" t="str">
        <f t="shared" si="12"/>
        <v>Liquide de direction assistée</v>
      </c>
      <c r="D153" s="11" t="s">
        <v>3543</v>
      </c>
      <c r="E153" s="11"/>
      <c r="F153" s="11"/>
      <c r="G153" s="11"/>
      <c r="H153" s="11"/>
      <c r="I153" s="11"/>
      <c r="J153" s="11"/>
      <c r="K153" s="11"/>
      <c r="L153" s="11"/>
      <c r="M153" s="27"/>
    </row>
    <row r="154" spans="2:13">
      <c r="B154" s="501">
        <v>-1</v>
      </c>
      <c r="C154" s="8" t="s">
        <v>495</v>
      </c>
      <c r="D154" s="8"/>
      <c r="E154" s="8"/>
      <c r="F154" s="8"/>
      <c r="G154" s="8"/>
      <c r="H154" s="8"/>
      <c r="I154" s="8"/>
      <c r="J154" s="8"/>
      <c r="K154" s="8"/>
      <c r="L154" s="8"/>
      <c r="M154" s="29"/>
    </row>
    <row r="155" spans="2:13">
      <c r="B155" s="18">
        <v>77</v>
      </c>
      <c r="C155" s="11" t="str">
        <f t="shared" ref="C155:C156" si="13">D155</f>
        <v>Démarreur</v>
      </c>
      <c r="D155" s="11" t="s">
        <v>3544</v>
      </c>
      <c r="E155" s="11"/>
      <c r="F155" s="11"/>
      <c r="G155" s="11"/>
      <c r="H155" s="11"/>
      <c r="I155" s="11"/>
      <c r="J155" s="11"/>
      <c r="K155" s="11"/>
      <c r="L155" s="11"/>
      <c r="M155" s="27"/>
    </row>
    <row r="156" spans="2:13">
      <c r="B156" s="18">
        <v>29331</v>
      </c>
      <c r="C156" s="11" t="str">
        <f t="shared" si="13"/>
        <v>Protection démarreur</v>
      </c>
      <c r="D156" s="11" t="s">
        <v>3545</v>
      </c>
      <c r="E156" s="11"/>
      <c r="F156" s="11"/>
      <c r="G156" s="11"/>
      <c r="H156" s="11"/>
      <c r="I156" s="11"/>
      <c r="J156" s="11"/>
      <c r="K156" s="11"/>
      <c r="L156" s="11"/>
      <c r="M156" s="27"/>
    </row>
    <row r="157" spans="2:13">
      <c r="B157" s="501">
        <v>-1</v>
      </c>
      <c r="C157" s="8" t="s">
        <v>497</v>
      </c>
      <c r="D157" s="8"/>
      <c r="E157" s="8"/>
      <c r="F157" s="8"/>
      <c r="G157" s="8"/>
      <c r="H157" s="8"/>
      <c r="I157" s="8"/>
      <c r="J157" s="8"/>
      <c r="K157" s="8"/>
      <c r="L157" s="8"/>
      <c r="M157" s="29"/>
    </row>
    <row r="158" spans="2:13">
      <c r="B158" s="18">
        <v>-1</v>
      </c>
      <c r="C158" s="11" t="str">
        <f t="shared" ref="C158:C180" si="14">D158</f>
        <v>ANNEAU REMORQUAGE</v>
      </c>
      <c r="D158" s="11" t="s">
        <v>3546</v>
      </c>
      <c r="E158" s="11"/>
      <c r="F158" s="11"/>
      <c r="G158" s="11"/>
      <c r="H158" s="11"/>
      <c r="I158" s="11"/>
      <c r="J158" s="11"/>
      <c r="K158" s="11"/>
      <c r="L158" s="11"/>
      <c r="M158" s="27"/>
    </row>
    <row r="159" spans="2:13">
      <c r="B159" s="18">
        <v>-1</v>
      </c>
      <c r="C159" s="11" t="str">
        <f t="shared" si="14"/>
        <v>AVERTISSEUR SONORE</v>
      </c>
      <c r="D159" s="11" t="s">
        <v>2264</v>
      </c>
      <c r="E159" s="11"/>
      <c r="F159" s="11"/>
      <c r="G159" s="11"/>
      <c r="H159" s="11"/>
      <c r="I159" s="11"/>
      <c r="J159" s="11"/>
      <c r="K159" s="11"/>
      <c r="L159" s="11"/>
      <c r="M159" s="27"/>
    </row>
    <row r="160" spans="2:13">
      <c r="B160" s="18">
        <v>-1</v>
      </c>
      <c r="C160" s="11" t="str">
        <f t="shared" si="14"/>
        <v>BARRE TOIT</v>
      </c>
      <c r="D160" s="11" t="s">
        <v>3408</v>
      </c>
      <c r="E160" s="11"/>
      <c r="F160" s="11"/>
      <c r="G160" s="11"/>
      <c r="H160" s="11"/>
      <c r="I160" s="11"/>
      <c r="J160" s="11"/>
      <c r="K160" s="11"/>
      <c r="L160" s="11"/>
      <c r="M160" s="27"/>
    </row>
    <row r="161" spans="2:13">
      <c r="B161" s="18">
        <v>-1</v>
      </c>
      <c r="C161" s="11" t="str">
        <f t="shared" si="14"/>
        <v>ENJO CAISSE</v>
      </c>
      <c r="D161" s="11" t="s">
        <v>2141</v>
      </c>
      <c r="E161" s="11"/>
      <c r="F161" s="11"/>
      <c r="G161" s="11"/>
      <c r="H161" s="11"/>
      <c r="I161" s="11"/>
      <c r="J161" s="11"/>
      <c r="K161" s="11"/>
      <c r="L161" s="11"/>
      <c r="M161" s="27"/>
    </row>
    <row r="162" spans="2:13">
      <c r="B162" s="18">
        <v>-1</v>
      </c>
      <c r="C162" s="11" t="str">
        <f t="shared" si="14"/>
        <v>GRILLE AUVENT</v>
      </c>
      <c r="D162" s="11" t="s">
        <v>513</v>
      </c>
      <c r="E162" s="11"/>
      <c r="F162" s="11"/>
      <c r="G162" s="11"/>
      <c r="H162" s="11"/>
      <c r="I162" s="11"/>
      <c r="J162" s="11"/>
      <c r="K162" s="11"/>
      <c r="L162" s="11"/>
      <c r="M162" s="27"/>
    </row>
    <row r="163" spans="2:13">
      <c r="B163" s="18">
        <v>-1</v>
      </c>
      <c r="C163" s="11" t="str">
        <f t="shared" si="14"/>
        <v>OBTURATEURS</v>
      </c>
      <c r="D163" s="11" t="s">
        <v>522</v>
      </c>
      <c r="E163" s="11"/>
      <c r="F163" s="11"/>
      <c r="G163" s="11"/>
      <c r="H163" s="11"/>
      <c r="I163" s="11"/>
      <c r="J163" s="11"/>
      <c r="K163" s="11"/>
      <c r="L163" s="11"/>
      <c r="M163" s="27"/>
    </row>
    <row r="164" spans="2:13">
      <c r="B164" s="18">
        <v>-1</v>
      </c>
      <c r="C164" s="11" t="str">
        <f t="shared" si="14"/>
        <v>TRAPPE CARBURANT / PRISE CHARGE</v>
      </c>
      <c r="D164" s="11" t="s">
        <v>2724</v>
      </c>
      <c r="E164" s="11"/>
      <c r="F164" s="11"/>
      <c r="G164" s="11"/>
      <c r="H164" s="11"/>
      <c r="I164" s="11"/>
      <c r="J164" s="11"/>
      <c r="K164" s="11"/>
      <c r="L164" s="11"/>
      <c r="M164" s="27"/>
    </row>
    <row r="165" spans="2:13">
      <c r="B165" s="18">
        <v>13892</v>
      </c>
      <c r="C165" s="11" t="str">
        <f t="shared" si="14"/>
        <v>Tampon de positionnement de cric</v>
      </c>
      <c r="D165" s="11" t="s">
        <v>3547</v>
      </c>
      <c r="E165" s="11"/>
      <c r="F165" s="11"/>
      <c r="G165" s="11"/>
      <c r="H165" s="11"/>
      <c r="I165" s="11"/>
      <c r="J165" s="11"/>
      <c r="K165" s="11"/>
      <c r="L165" s="11"/>
      <c r="M165" s="27"/>
    </row>
    <row r="166" spans="2:13">
      <c r="B166" s="18">
        <v>11043</v>
      </c>
      <c r="C166" s="11" t="str">
        <f t="shared" si="14"/>
        <v>Support non utilisé</v>
      </c>
      <c r="D166" s="11" t="s">
        <v>3548</v>
      </c>
      <c r="E166" s="11"/>
      <c r="F166" s="11"/>
      <c r="G166" s="11"/>
      <c r="H166" s="11"/>
      <c r="I166" s="11"/>
      <c r="J166" s="11"/>
      <c r="K166" s="11"/>
      <c r="L166" s="11"/>
      <c r="M166" s="27"/>
    </row>
    <row r="167" spans="2:13">
      <c r="B167" s="18">
        <v>31384</v>
      </c>
      <c r="C167" s="11" t="str">
        <f t="shared" si="14"/>
        <v>Second support non utilisé</v>
      </c>
      <c r="D167" s="11" t="s">
        <v>3549</v>
      </c>
      <c r="E167" s="11"/>
      <c r="F167" s="11"/>
      <c r="G167" s="11"/>
      <c r="H167" s="11"/>
      <c r="I167" s="11"/>
      <c r="J167" s="11"/>
      <c r="K167" s="11"/>
      <c r="L167" s="11"/>
      <c r="M167" s="27"/>
    </row>
    <row r="168" spans="2:13">
      <c r="B168" s="18">
        <v>31918</v>
      </c>
      <c r="C168" s="11" t="str">
        <f t="shared" si="14"/>
        <v>Troisième support non utilisé</v>
      </c>
      <c r="D168" s="11" t="s">
        <v>3550</v>
      </c>
      <c r="E168" s="11"/>
      <c r="F168" s="11"/>
      <c r="G168" s="11"/>
      <c r="H168" s="11"/>
      <c r="I168" s="11"/>
      <c r="J168" s="11"/>
      <c r="K168" s="11"/>
      <c r="L168" s="11"/>
      <c r="M168" s="27"/>
    </row>
    <row r="169" spans="2:13">
      <c r="B169" s="18">
        <v>31919</v>
      </c>
      <c r="C169" s="11" t="str">
        <f t="shared" si="14"/>
        <v>Quatrième support non utilisé</v>
      </c>
      <c r="D169" s="11" t="s">
        <v>3551</v>
      </c>
      <c r="E169" s="11"/>
      <c r="F169" s="11"/>
      <c r="G169" s="11"/>
      <c r="H169" s="11"/>
      <c r="I169" s="11"/>
      <c r="J169" s="11"/>
      <c r="K169" s="11"/>
      <c r="L169" s="11"/>
      <c r="M169" s="27"/>
    </row>
    <row r="170" spans="2:13">
      <c r="B170" s="18">
        <v>15765</v>
      </c>
      <c r="C170" s="11" t="str">
        <f t="shared" si="14"/>
        <v>Ecran de protection sous caisse</v>
      </c>
      <c r="D170" s="11" t="s">
        <v>3552</v>
      </c>
      <c r="E170" s="11"/>
      <c r="F170" s="11"/>
      <c r="G170" s="11"/>
      <c r="H170" s="11"/>
      <c r="I170" s="11"/>
      <c r="J170" s="11"/>
      <c r="K170" s="11"/>
      <c r="L170" s="11"/>
      <c r="M170" s="27"/>
    </row>
    <row r="171" spans="2:13">
      <c r="B171" s="18">
        <v>34473</v>
      </c>
      <c r="C171" s="11" t="str">
        <f t="shared" si="14"/>
        <v>Deflecteur supérieur</v>
      </c>
      <c r="D171" s="11" t="s">
        <v>3553</v>
      </c>
      <c r="E171" s="11"/>
      <c r="F171" s="11"/>
      <c r="G171" s="11"/>
      <c r="H171" s="11"/>
      <c r="I171" s="11"/>
      <c r="J171" s="11"/>
      <c r="K171" s="11"/>
      <c r="L171" s="11"/>
      <c r="M171" s="27"/>
    </row>
    <row r="172" spans="2:13">
      <c r="B172" s="18">
        <v>16372</v>
      </c>
      <c r="C172" s="11" t="str">
        <f t="shared" si="14"/>
        <v>Support / Enjoliveur numero chassis</v>
      </c>
      <c r="D172" s="11" t="s">
        <v>3554</v>
      </c>
      <c r="E172" s="11"/>
      <c r="F172" s="11"/>
      <c r="G172" s="11"/>
      <c r="H172" s="11"/>
      <c r="I172" s="11"/>
      <c r="J172" s="11"/>
      <c r="K172" s="11"/>
      <c r="L172" s="11"/>
      <c r="M172" s="27"/>
    </row>
    <row r="173" spans="2:13">
      <c r="B173" s="18">
        <v>5665</v>
      </c>
      <c r="C173" s="11" t="str">
        <f t="shared" si="14"/>
        <v>Bac de rangement arrière</v>
      </c>
      <c r="D173" s="11" t="s">
        <v>3555</v>
      </c>
      <c r="E173" s="11"/>
      <c r="F173" s="11"/>
      <c r="G173" s="11"/>
      <c r="H173" s="11"/>
      <c r="I173" s="11"/>
      <c r="J173" s="11"/>
      <c r="K173" s="11"/>
      <c r="L173" s="11"/>
      <c r="M173" s="27"/>
    </row>
    <row r="174" spans="2:13">
      <c r="B174" s="18">
        <v>34499</v>
      </c>
      <c r="C174" s="11" t="str">
        <f t="shared" si="14"/>
        <v>Support bac de rangement arriere</v>
      </c>
      <c r="D174" s="11" t="s">
        <v>3556</v>
      </c>
      <c r="E174" s="11"/>
      <c r="F174" s="11"/>
      <c r="G174" s="11"/>
      <c r="H174" s="11"/>
      <c r="I174" s="11"/>
      <c r="J174" s="11"/>
      <c r="K174" s="11"/>
      <c r="L174" s="11"/>
      <c r="M174" s="27"/>
    </row>
    <row r="175" spans="2:13">
      <c r="B175" s="18">
        <v>33105</v>
      </c>
      <c r="C175" s="11" t="str">
        <f t="shared" si="14"/>
        <v>Système cloison de séparation cabine</v>
      </c>
      <c r="D175" s="11" t="s">
        <v>2786</v>
      </c>
      <c r="E175" s="11"/>
      <c r="F175" s="11"/>
      <c r="G175" s="11"/>
      <c r="H175" s="11"/>
      <c r="I175" s="11"/>
      <c r="J175" s="11"/>
      <c r="K175" s="11"/>
      <c r="L175" s="11"/>
      <c r="M175" s="27"/>
    </row>
    <row r="176" spans="2:13">
      <c r="B176" s="18">
        <v>34262</v>
      </c>
      <c r="C176" s="11" t="str">
        <f t="shared" si="14"/>
        <v>Fixation non utilisée</v>
      </c>
      <c r="D176" s="11" t="s">
        <v>3277</v>
      </c>
      <c r="E176" s="11"/>
      <c r="F176" s="11"/>
      <c r="G176" s="11"/>
      <c r="H176" s="11"/>
      <c r="I176" s="11"/>
      <c r="J176" s="11"/>
      <c r="K176" s="11"/>
      <c r="L176" s="11"/>
      <c r="M176" s="27"/>
    </row>
    <row r="177" spans="2:13">
      <c r="B177" s="18">
        <v>35223</v>
      </c>
      <c r="C177" s="11" t="str">
        <f t="shared" si="14"/>
        <v>2eme fixation non utilisée</v>
      </c>
      <c r="D177" s="11" t="s">
        <v>3557</v>
      </c>
      <c r="E177" s="11"/>
      <c r="F177" s="11"/>
      <c r="G177" s="11"/>
      <c r="H177" s="11"/>
      <c r="I177" s="11"/>
      <c r="J177" s="11"/>
      <c r="K177" s="11"/>
      <c r="L177" s="11"/>
      <c r="M177" s="27"/>
    </row>
    <row r="178" spans="2:13">
      <c r="B178" s="18">
        <v>35378</v>
      </c>
      <c r="C178" s="11" t="str">
        <f t="shared" si="14"/>
        <v>3eme fixation non utilisée</v>
      </c>
      <c r="D178" s="11" t="s">
        <v>3558</v>
      </c>
      <c r="E178" s="11"/>
      <c r="F178" s="11"/>
      <c r="G178" s="11"/>
      <c r="H178" s="11"/>
      <c r="I178" s="11"/>
      <c r="J178" s="11"/>
      <c r="K178" s="11"/>
      <c r="L178" s="11"/>
      <c r="M178" s="27"/>
    </row>
    <row r="179" spans="2:13">
      <c r="B179" s="18">
        <v>33021</v>
      </c>
      <c r="C179" s="11" t="str">
        <f t="shared" si="14"/>
        <v>Système zone de chargement</v>
      </c>
      <c r="D179" s="11" t="s">
        <v>3559</v>
      </c>
      <c r="E179" s="11"/>
      <c r="F179" s="11"/>
      <c r="G179" s="11"/>
      <c r="H179" s="11"/>
      <c r="I179" s="11"/>
      <c r="J179" s="11"/>
      <c r="K179" s="11"/>
      <c r="L179" s="11"/>
      <c r="M179" s="27"/>
    </row>
    <row r="180" spans="2:13">
      <c r="B180" s="18">
        <v>33224</v>
      </c>
      <c r="C180" s="11" t="str">
        <f t="shared" si="14"/>
        <v>Sortie de secours sur toit</v>
      </c>
      <c r="D180" s="11" t="s">
        <v>3560</v>
      </c>
      <c r="E180" s="11"/>
      <c r="F180" s="11"/>
      <c r="G180" s="11"/>
      <c r="H180" s="11"/>
      <c r="I180" s="11"/>
      <c r="J180" s="11"/>
      <c r="K180" s="11"/>
      <c r="L180" s="11"/>
      <c r="M180" s="27"/>
    </row>
    <row r="181" spans="2:13">
      <c r="B181" s="501">
        <v>-1</v>
      </c>
      <c r="C181" s="8" t="s">
        <v>1084</v>
      </c>
      <c r="D181" s="8"/>
      <c r="E181" s="8"/>
      <c r="F181" s="8"/>
      <c r="G181" s="8"/>
      <c r="H181" s="8"/>
      <c r="I181" s="8"/>
      <c r="J181" s="8"/>
      <c r="K181" s="8"/>
      <c r="L181" s="8"/>
      <c r="M181" s="29"/>
    </row>
    <row r="182" spans="2:13">
      <c r="B182" s="18">
        <v>2154</v>
      </c>
      <c r="C182" s="11" t="str">
        <f t="shared" ref="C182:C236" si="15">D182</f>
        <v>Système audio 2</v>
      </c>
      <c r="D182" s="11" t="s">
        <v>3561</v>
      </c>
      <c r="E182" s="11"/>
      <c r="F182" s="11"/>
      <c r="G182" s="11"/>
      <c r="H182" s="11"/>
      <c r="I182" s="11"/>
      <c r="J182" s="11"/>
      <c r="K182" s="11"/>
      <c r="L182" s="11"/>
      <c r="M182" s="27"/>
    </row>
    <row r="183" spans="2:13">
      <c r="B183" s="18">
        <v>10564</v>
      </c>
      <c r="C183" s="11" t="str">
        <f t="shared" si="15"/>
        <v>Capteurs</v>
      </c>
      <c r="D183" s="11" t="s">
        <v>3562</v>
      </c>
      <c r="E183" s="11"/>
      <c r="F183" s="11"/>
      <c r="G183" s="11"/>
      <c r="H183" s="11"/>
      <c r="I183" s="11"/>
      <c r="J183" s="11"/>
      <c r="K183" s="11"/>
      <c r="L183" s="11"/>
      <c r="M183" s="27"/>
    </row>
    <row r="184" spans="2:13">
      <c r="B184" s="18">
        <v>10827</v>
      </c>
      <c r="C184" s="11" t="str">
        <f t="shared" si="15"/>
        <v>Prises</v>
      </c>
      <c r="D184" s="11" t="s">
        <v>1966</v>
      </c>
      <c r="E184" s="11"/>
      <c r="F184" s="11"/>
      <c r="G184" s="11"/>
      <c r="H184" s="11"/>
      <c r="I184" s="11"/>
      <c r="J184" s="11"/>
      <c r="K184" s="11"/>
      <c r="L184" s="11"/>
      <c r="M184" s="27"/>
    </row>
    <row r="185" spans="2:13">
      <c r="B185" s="18">
        <v>3154</v>
      </c>
      <c r="C185" s="11" t="str">
        <f t="shared" si="15"/>
        <v>Système audio 3</v>
      </c>
      <c r="D185" s="11" t="s">
        <v>3563</v>
      </c>
      <c r="E185" s="11"/>
      <c r="F185" s="11"/>
      <c r="G185" s="11"/>
      <c r="H185" s="11"/>
      <c r="I185" s="11"/>
      <c r="J185" s="11"/>
      <c r="K185" s="11"/>
      <c r="L185" s="11"/>
      <c r="M185" s="27"/>
    </row>
    <row r="186" spans="2:13">
      <c r="B186" s="18">
        <v>4419</v>
      </c>
      <c r="C186" s="11" t="str">
        <f t="shared" si="15"/>
        <v>Système GPS</v>
      </c>
      <c r="D186" s="11" t="s">
        <v>1945</v>
      </c>
      <c r="E186" s="11"/>
      <c r="F186" s="11"/>
      <c r="G186" s="11"/>
      <c r="H186" s="11"/>
      <c r="I186" s="11"/>
      <c r="J186" s="11"/>
      <c r="K186" s="11"/>
      <c r="L186" s="11"/>
      <c r="M186" s="27"/>
    </row>
    <row r="187" spans="2:13">
      <c r="B187" s="18">
        <v>5510</v>
      </c>
      <c r="C187" s="11" t="str">
        <f t="shared" si="15"/>
        <v>Système téléphone</v>
      </c>
      <c r="D187" s="11" t="s">
        <v>1941</v>
      </c>
      <c r="E187" s="11"/>
      <c r="F187" s="11"/>
      <c r="G187" s="11"/>
      <c r="H187" s="11"/>
      <c r="I187" s="11"/>
      <c r="J187" s="11"/>
      <c r="K187" s="11"/>
      <c r="L187" s="11"/>
      <c r="M187" s="27"/>
    </row>
    <row r="188" spans="2:13">
      <c r="B188" s="18">
        <v>18604</v>
      </c>
      <c r="C188" s="11" t="str">
        <f t="shared" si="15"/>
        <v>Système internet</v>
      </c>
      <c r="D188" s="11" t="s">
        <v>3564</v>
      </c>
      <c r="E188" s="11"/>
      <c r="F188" s="11"/>
      <c r="G188" s="11"/>
      <c r="H188" s="11"/>
      <c r="I188" s="11"/>
      <c r="J188" s="11"/>
      <c r="K188" s="11"/>
      <c r="L188" s="11"/>
      <c r="M188" s="27"/>
    </row>
    <row r="189" spans="2:13">
      <c r="B189" s="18">
        <v>7335</v>
      </c>
      <c r="C189" s="11" t="str">
        <f t="shared" si="15"/>
        <v>Système video</v>
      </c>
      <c r="D189" s="11" t="s">
        <v>3565</v>
      </c>
      <c r="E189" s="11"/>
      <c r="F189" s="11"/>
      <c r="G189" s="11"/>
      <c r="H189" s="11"/>
      <c r="I189" s="11"/>
      <c r="J189" s="11"/>
      <c r="K189" s="11"/>
      <c r="L189" s="11"/>
      <c r="M189" s="27"/>
    </row>
    <row r="190" spans="2:13">
      <c r="B190" s="18">
        <v>18736</v>
      </c>
      <c r="C190" s="11" t="str">
        <f t="shared" si="15"/>
        <v>Système aide au stationnement</v>
      </c>
      <c r="D190" s="11" t="s">
        <v>3566</v>
      </c>
      <c r="E190" s="11"/>
      <c r="F190" s="11"/>
      <c r="G190" s="11"/>
      <c r="H190" s="11"/>
      <c r="I190" s="11"/>
      <c r="J190" s="11"/>
      <c r="K190" s="11"/>
      <c r="L190" s="11"/>
      <c r="M190" s="27"/>
    </row>
    <row r="191" spans="2:13">
      <c r="B191" s="18">
        <v>8858</v>
      </c>
      <c r="C191" s="11" t="str">
        <f t="shared" si="15"/>
        <v>Système d'ouverture sans clef</v>
      </c>
      <c r="D191" s="11" t="s">
        <v>1980</v>
      </c>
      <c r="E191" s="11"/>
      <c r="F191" s="11"/>
      <c r="G191" s="11"/>
      <c r="H191" s="11"/>
      <c r="I191" s="11"/>
      <c r="J191" s="11"/>
      <c r="K191" s="11"/>
      <c r="L191" s="11"/>
      <c r="M191" s="27"/>
    </row>
    <row r="192" spans="2:13">
      <c r="B192" s="18">
        <v>8853</v>
      </c>
      <c r="C192" s="11" t="str">
        <f t="shared" si="15"/>
        <v>Système régulateur/avertisseur de distance</v>
      </c>
      <c r="D192" s="11" t="s">
        <v>3567</v>
      </c>
      <c r="E192" s="11"/>
      <c r="F192" s="11"/>
      <c r="G192" s="11"/>
      <c r="H192" s="11"/>
      <c r="I192" s="11"/>
      <c r="J192" s="11"/>
      <c r="K192" s="11"/>
      <c r="L192" s="11"/>
      <c r="M192" s="27"/>
    </row>
    <row r="193" spans="2:13">
      <c r="B193" s="18">
        <v>11902</v>
      </c>
      <c r="C193" s="11" t="str">
        <f t="shared" si="15"/>
        <v>Système suivi de ligne</v>
      </c>
      <c r="D193" s="11" t="s">
        <v>3568</v>
      </c>
      <c r="E193" s="11"/>
      <c r="F193" s="11"/>
      <c r="G193" s="11"/>
      <c r="H193" s="11"/>
      <c r="I193" s="11"/>
      <c r="J193" s="11"/>
      <c r="K193" s="11"/>
      <c r="L193" s="11"/>
      <c r="M193" s="27"/>
    </row>
    <row r="194" spans="2:13">
      <c r="B194" s="18">
        <v>10849</v>
      </c>
      <c r="C194" s="11" t="str">
        <f t="shared" si="15"/>
        <v>Systeme surveillance de pression des pneus</v>
      </c>
      <c r="D194" s="11" t="s">
        <v>3569</v>
      </c>
      <c r="E194" s="11"/>
      <c r="F194" s="11"/>
      <c r="G194" s="11"/>
      <c r="H194" s="11"/>
      <c r="I194" s="11"/>
      <c r="J194" s="11"/>
      <c r="K194" s="11"/>
      <c r="L194" s="11"/>
      <c r="M194" s="27"/>
    </row>
    <row r="195" spans="2:13">
      <c r="B195" s="18">
        <v>11839</v>
      </c>
      <c r="C195" s="11" t="str">
        <f t="shared" si="15"/>
        <v>Système modularité electrique</v>
      </c>
      <c r="D195" s="11" t="s">
        <v>3570</v>
      </c>
      <c r="E195" s="11"/>
      <c r="F195" s="11"/>
      <c r="G195" s="11"/>
      <c r="H195" s="11"/>
      <c r="I195" s="11"/>
      <c r="J195" s="11"/>
      <c r="K195" s="11"/>
      <c r="L195" s="11"/>
      <c r="M195" s="27"/>
    </row>
    <row r="196" spans="2:13">
      <c r="B196" s="18">
        <v>14281</v>
      </c>
      <c r="C196" s="11" t="str">
        <f t="shared" si="15"/>
        <v>Système caméra nocturne</v>
      </c>
      <c r="D196" s="11" t="s">
        <v>3571</v>
      </c>
      <c r="E196" s="11"/>
      <c r="F196" s="11"/>
      <c r="G196" s="11"/>
      <c r="H196" s="11"/>
      <c r="I196" s="11"/>
      <c r="J196" s="11"/>
      <c r="K196" s="11"/>
      <c r="L196" s="11"/>
      <c r="M196" s="27"/>
    </row>
    <row r="197" spans="2:13">
      <c r="B197" s="18">
        <v>14793</v>
      </c>
      <c r="C197" s="11" t="str">
        <f t="shared" si="15"/>
        <v>Buzzer oubli extinction éclairage</v>
      </c>
      <c r="D197" s="11" t="s">
        <v>3572</v>
      </c>
      <c r="E197" s="11"/>
      <c r="F197" s="11"/>
      <c r="G197" s="11"/>
      <c r="H197" s="11"/>
      <c r="I197" s="11"/>
      <c r="J197" s="11"/>
      <c r="K197" s="11"/>
      <c r="L197" s="11"/>
      <c r="M197" s="27"/>
    </row>
    <row r="198" spans="2:13">
      <c r="B198" s="18">
        <v>11065</v>
      </c>
      <c r="C198" s="11" t="str">
        <f t="shared" si="15"/>
        <v>Bip sonore verrouillage deverrouillage des portes</v>
      </c>
      <c r="D198" s="11" t="s">
        <v>3573</v>
      </c>
      <c r="E198" s="11"/>
      <c r="F198" s="11"/>
      <c r="G198" s="11"/>
      <c r="H198" s="11"/>
      <c r="I198" s="11"/>
      <c r="J198" s="11"/>
      <c r="K198" s="11"/>
      <c r="L198" s="11"/>
      <c r="M198" s="27"/>
    </row>
    <row r="199" spans="2:13">
      <c r="B199" s="18">
        <v>14915</v>
      </c>
      <c r="C199" s="11" t="str">
        <f t="shared" si="15"/>
        <v>Systeme detection angle mort</v>
      </c>
      <c r="D199" s="11" t="s">
        <v>3574</v>
      </c>
      <c r="E199" s="11"/>
      <c r="F199" s="11"/>
      <c r="G199" s="11"/>
      <c r="H199" s="11"/>
      <c r="I199" s="11"/>
      <c r="J199" s="11"/>
      <c r="K199" s="11"/>
      <c r="L199" s="11"/>
      <c r="M199" s="27"/>
    </row>
    <row r="200" spans="2:13">
      <c r="B200" s="18">
        <v>15278</v>
      </c>
      <c r="C200" s="11" t="str">
        <f t="shared" si="15"/>
        <v>Systeme city safety</v>
      </c>
      <c r="D200" s="11" t="s">
        <v>3575</v>
      </c>
      <c r="E200" s="11"/>
      <c r="F200" s="11"/>
      <c r="G200" s="11"/>
      <c r="H200" s="11"/>
      <c r="I200" s="11"/>
      <c r="J200" s="11"/>
      <c r="K200" s="11"/>
      <c r="L200" s="11"/>
      <c r="M200" s="27"/>
    </row>
    <row r="201" spans="2:13">
      <c r="B201" s="18">
        <v>16101</v>
      </c>
      <c r="C201" s="11" t="str">
        <f t="shared" si="15"/>
        <v>Système activation sonore piéton</v>
      </c>
      <c r="D201" s="11" t="s">
        <v>3576</v>
      </c>
      <c r="E201" s="11"/>
      <c r="F201" s="11"/>
      <c r="G201" s="11"/>
      <c r="H201" s="11"/>
      <c r="I201" s="11"/>
      <c r="J201" s="11"/>
      <c r="K201" s="11"/>
      <c r="L201" s="11"/>
      <c r="M201" s="27"/>
    </row>
    <row r="202" spans="2:13">
      <c r="B202" s="18">
        <v>18543</v>
      </c>
      <c r="C202" s="11" t="str">
        <f t="shared" si="15"/>
        <v>Système ouverture coffre par detection pieds</v>
      </c>
      <c r="D202" s="11" t="s">
        <v>3577</v>
      </c>
      <c r="E202" s="11"/>
      <c r="F202" s="11"/>
      <c r="G202" s="11"/>
      <c r="H202" s="11"/>
      <c r="I202" s="11"/>
      <c r="J202" s="11"/>
      <c r="K202" s="11"/>
      <c r="L202" s="11"/>
      <c r="M202" s="27"/>
    </row>
    <row r="203" spans="2:13">
      <c r="B203" s="18">
        <v>27097</v>
      </c>
      <c r="C203" s="11" t="str">
        <f t="shared" si="15"/>
        <v>Système de contôle avec téléphone / NFC</v>
      </c>
      <c r="D203" s="11" t="s">
        <v>3578</v>
      </c>
      <c r="E203" s="11"/>
      <c r="F203" s="11"/>
      <c r="G203" s="11"/>
      <c r="H203" s="11"/>
      <c r="I203" s="11"/>
      <c r="J203" s="11"/>
      <c r="K203" s="11"/>
      <c r="L203" s="11"/>
      <c r="M203" s="27"/>
    </row>
    <row r="204" spans="2:13">
      <c r="B204" s="18">
        <v>2859</v>
      </c>
      <c r="C204" s="11" t="str">
        <f t="shared" si="15"/>
        <v>UCE Système d'unité centrale électrique</v>
      </c>
      <c r="D204" s="11" t="s">
        <v>3579</v>
      </c>
      <c r="E204" s="11"/>
      <c r="F204" s="11"/>
      <c r="G204" s="11"/>
      <c r="H204" s="11"/>
      <c r="I204" s="11"/>
      <c r="J204" s="11"/>
      <c r="K204" s="11"/>
      <c r="L204" s="11"/>
      <c r="M204" s="27"/>
    </row>
    <row r="205" spans="2:13">
      <c r="B205" s="18">
        <v>15433</v>
      </c>
      <c r="C205" s="11" t="str">
        <f t="shared" si="15"/>
        <v>Système porte fusibles/relais</v>
      </c>
      <c r="D205" s="11" t="s">
        <v>1105</v>
      </c>
      <c r="E205" s="11"/>
      <c r="F205" s="11"/>
      <c r="G205" s="11"/>
      <c r="H205" s="11"/>
      <c r="I205" s="11"/>
      <c r="J205" s="11"/>
      <c r="K205" s="11"/>
      <c r="L205" s="11"/>
      <c r="M205" s="27"/>
    </row>
    <row r="206" spans="2:13">
      <c r="B206" s="18">
        <v>10634</v>
      </c>
      <c r="C206" s="11" t="str">
        <f t="shared" si="15"/>
        <v>Contacteurs ouverture</v>
      </c>
      <c r="D206" s="11" t="s">
        <v>3580</v>
      </c>
      <c r="E206" s="11"/>
      <c r="F206" s="11"/>
      <c r="G206" s="11"/>
      <c r="H206" s="11"/>
      <c r="I206" s="11"/>
      <c r="J206" s="11"/>
      <c r="K206" s="11"/>
      <c r="L206" s="11"/>
      <c r="M206" s="27"/>
    </row>
    <row r="207" spans="2:13">
      <c r="B207" s="18">
        <v>9854</v>
      </c>
      <c r="C207" s="11" t="str">
        <f t="shared" si="15"/>
        <v>Boitier de degivrage arrière</v>
      </c>
      <c r="D207" s="11" t="s">
        <v>1970</v>
      </c>
      <c r="E207" s="11"/>
      <c r="F207" s="11"/>
      <c r="G207" s="11"/>
      <c r="H207" s="11"/>
      <c r="I207" s="11"/>
      <c r="J207" s="11"/>
      <c r="K207" s="11"/>
      <c r="L207" s="11"/>
      <c r="M207" s="27"/>
    </row>
    <row r="208" spans="2:13">
      <c r="B208" s="18">
        <v>7506</v>
      </c>
      <c r="C208" s="11" t="str">
        <f t="shared" si="15"/>
        <v>Système alimentation avant</v>
      </c>
      <c r="D208" s="11" t="s">
        <v>3581</v>
      </c>
      <c r="E208" s="11"/>
      <c r="F208" s="11"/>
      <c r="G208" s="11"/>
      <c r="H208" s="11"/>
      <c r="I208" s="11"/>
      <c r="J208" s="11"/>
      <c r="K208" s="11"/>
      <c r="L208" s="11"/>
      <c r="M208" s="27"/>
    </row>
    <row r="209" spans="2:13">
      <c r="B209" s="18">
        <v>11040</v>
      </c>
      <c r="C209" s="11" t="str">
        <f t="shared" si="15"/>
        <v>Système gestion fermeture centralisée</v>
      </c>
      <c r="D209" s="11" t="s">
        <v>3582</v>
      </c>
      <c r="E209" s="11"/>
      <c r="F209" s="11"/>
      <c r="G209" s="11"/>
      <c r="H209" s="11"/>
      <c r="I209" s="11"/>
      <c r="J209" s="11"/>
      <c r="K209" s="11"/>
      <c r="L209" s="11"/>
      <c r="M209" s="27"/>
    </row>
    <row r="210" spans="2:13">
      <c r="B210" s="18">
        <v>3280</v>
      </c>
      <c r="C210" s="11" t="str">
        <f t="shared" si="15"/>
        <v>Système prechauffage</v>
      </c>
      <c r="D210" s="11" t="s">
        <v>3583</v>
      </c>
      <c r="E210" s="11"/>
      <c r="F210" s="11"/>
      <c r="G210" s="11"/>
      <c r="H210" s="11"/>
      <c r="I210" s="11"/>
      <c r="J210" s="11"/>
      <c r="K210" s="11"/>
      <c r="L210" s="11"/>
      <c r="M210" s="27"/>
    </row>
    <row r="211" spans="2:13">
      <c r="B211" s="18">
        <v>16678</v>
      </c>
      <c r="C211" s="11" t="str">
        <f t="shared" si="15"/>
        <v>Système support de connecteurs</v>
      </c>
      <c r="D211" s="11" t="s">
        <v>3584</v>
      </c>
      <c r="E211" s="11"/>
      <c r="F211" s="11"/>
      <c r="G211" s="11"/>
      <c r="H211" s="11"/>
      <c r="I211" s="11"/>
      <c r="J211" s="11"/>
      <c r="K211" s="11"/>
      <c r="L211" s="11"/>
      <c r="M211" s="27"/>
    </row>
    <row r="212" spans="2:13">
      <c r="B212" s="18">
        <v>11605</v>
      </c>
      <c r="C212" s="11" t="str">
        <f t="shared" si="15"/>
        <v>Schemas electriques</v>
      </c>
      <c r="D212" s="11" t="s">
        <v>3585</v>
      </c>
      <c r="E212" s="11"/>
      <c r="F212" s="11"/>
      <c r="G212" s="11"/>
      <c r="H212" s="11"/>
      <c r="I212" s="11"/>
      <c r="J212" s="11"/>
      <c r="K212" s="11"/>
      <c r="L212" s="11"/>
      <c r="M212" s="27"/>
    </row>
    <row r="213" spans="2:13">
      <c r="B213" s="18">
        <v>4541</v>
      </c>
      <c r="C213" s="11" t="str">
        <f t="shared" si="15"/>
        <v>Alarme antivol</v>
      </c>
      <c r="D213" s="11" t="s">
        <v>1962</v>
      </c>
      <c r="E213" s="11"/>
      <c r="F213" s="11"/>
      <c r="G213" s="11"/>
      <c r="H213" s="11"/>
      <c r="I213" s="11"/>
      <c r="J213" s="11"/>
      <c r="K213" s="11"/>
      <c r="L213" s="11"/>
      <c r="M213" s="27"/>
    </row>
    <row r="214" spans="2:13">
      <c r="B214" s="18">
        <v>4622</v>
      </c>
      <c r="C214" s="11" t="str">
        <f t="shared" si="15"/>
        <v>Système ESP</v>
      </c>
      <c r="D214" s="11" t="s">
        <v>3586</v>
      </c>
      <c r="E214" s="11"/>
      <c r="F214" s="11"/>
      <c r="G214" s="11"/>
      <c r="H214" s="11"/>
      <c r="I214" s="11"/>
      <c r="J214" s="11"/>
      <c r="K214" s="11"/>
      <c r="L214" s="11"/>
      <c r="M214" s="27"/>
    </row>
    <row r="215" spans="2:13">
      <c r="B215" s="18">
        <v>1149</v>
      </c>
      <c r="C215" s="11" t="str">
        <f t="shared" si="15"/>
        <v>Interrupteur de feux de détresse</v>
      </c>
      <c r="D215" s="11" t="s">
        <v>3587</v>
      </c>
      <c r="E215" s="11"/>
      <c r="F215" s="11"/>
      <c r="G215" s="11"/>
      <c r="H215" s="11"/>
      <c r="I215" s="11"/>
      <c r="J215" s="11"/>
      <c r="K215" s="11"/>
      <c r="L215" s="11"/>
      <c r="M215" s="27"/>
    </row>
    <row r="216" spans="2:13">
      <c r="B216" s="18">
        <v>9696</v>
      </c>
      <c r="C216" s="11" t="str">
        <f t="shared" si="15"/>
        <v>Récepteur satellite</v>
      </c>
      <c r="D216" s="11" t="s">
        <v>3588</v>
      </c>
      <c r="E216" s="11"/>
      <c r="F216" s="11"/>
      <c r="G216" s="11"/>
      <c r="H216" s="11"/>
      <c r="I216" s="11"/>
      <c r="J216" s="11"/>
      <c r="K216" s="11"/>
      <c r="L216" s="11"/>
      <c r="M216" s="27"/>
    </row>
    <row r="217" spans="2:13">
      <c r="B217" s="18">
        <v>10259</v>
      </c>
      <c r="C217" s="11" t="str">
        <f t="shared" si="15"/>
        <v>Commande d ouverture</v>
      </c>
      <c r="D217" s="11" t="s">
        <v>3589</v>
      </c>
      <c r="E217" s="11"/>
      <c r="F217" s="11"/>
      <c r="G217" s="11"/>
      <c r="H217" s="11"/>
      <c r="I217" s="11"/>
      <c r="J217" s="11"/>
      <c r="K217" s="11"/>
      <c r="L217" s="11"/>
      <c r="M217" s="27"/>
    </row>
    <row r="218" spans="2:13">
      <c r="B218" s="18">
        <v>7563</v>
      </c>
      <c r="C218" s="11" t="str">
        <f t="shared" si="15"/>
        <v>Récepteur commande radio</v>
      </c>
      <c r="D218" s="11" t="s">
        <v>3590</v>
      </c>
      <c r="E218" s="11"/>
      <c r="F218" s="11"/>
      <c r="G218" s="11"/>
      <c r="H218" s="11"/>
      <c r="I218" s="11"/>
      <c r="J218" s="11"/>
      <c r="K218" s="11"/>
      <c r="L218" s="11"/>
      <c r="M218" s="27"/>
    </row>
    <row r="219" spans="2:13">
      <c r="B219" s="18">
        <v>26412</v>
      </c>
      <c r="C219" s="11" t="str">
        <f t="shared" si="15"/>
        <v>Système amplification de son moteur</v>
      </c>
      <c r="D219" s="11" t="s">
        <v>3591</v>
      </c>
      <c r="E219" s="11"/>
      <c r="F219" s="11"/>
      <c r="G219" s="11"/>
      <c r="H219" s="11"/>
      <c r="I219" s="11"/>
      <c r="J219" s="11"/>
      <c r="K219" s="11"/>
      <c r="L219" s="11"/>
      <c r="M219" s="27"/>
    </row>
    <row r="220" spans="2:13">
      <c r="B220" s="18">
        <v>26892</v>
      </c>
      <c r="C220" s="11" t="str">
        <f t="shared" si="15"/>
        <v>Système de recharge sans fil (telephone)</v>
      </c>
      <c r="D220" s="11" t="s">
        <v>3592</v>
      </c>
      <c r="E220" s="11"/>
      <c r="F220" s="11"/>
      <c r="G220" s="11"/>
      <c r="H220" s="11"/>
      <c r="I220" s="11"/>
      <c r="J220" s="11"/>
      <c r="K220" s="11"/>
      <c r="L220" s="11"/>
      <c r="M220" s="27"/>
    </row>
    <row r="221" spans="2:13">
      <c r="B221" s="18">
        <v>28898</v>
      </c>
      <c r="C221" s="11" t="str">
        <f t="shared" si="15"/>
        <v>Système video surveillance 360°</v>
      </c>
      <c r="D221" s="11" t="s">
        <v>3593</v>
      </c>
      <c r="E221" s="11"/>
      <c r="F221" s="11"/>
      <c r="G221" s="11"/>
      <c r="H221" s="11"/>
      <c r="I221" s="11"/>
      <c r="J221" s="11"/>
      <c r="K221" s="11"/>
      <c r="L221" s="11"/>
      <c r="M221" s="27"/>
    </row>
    <row r="222" spans="2:13">
      <c r="B222" s="18">
        <v>3177</v>
      </c>
      <c r="C222" s="11" t="str">
        <f t="shared" si="15"/>
        <v>Antenne main libre</v>
      </c>
      <c r="D222" s="11" t="s">
        <v>3594</v>
      </c>
      <c r="E222" s="11"/>
      <c r="F222" s="11"/>
      <c r="G222" s="11"/>
      <c r="H222" s="11"/>
      <c r="I222" s="11"/>
      <c r="J222" s="11"/>
      <c r="K222" s="11"/>
      <c r="L222" s="11"/>
      <c r="M222" s="27"/>
    </row>
    <row r="223" spans="2:13">
      <c r="B223" s="18">
        <v>16137</v>
      </c>
      <c r="C223" s="11" t="str">
        <f t="shared" si="15"/>
        <v>Support bip sonore verrouillage des portes</v>
      </c>
      <c r="D223" s="11" t="s">
        <v>3595</v>
      </c>
      <c r="E223" s="11"/>
      <c r="F223" s="11"/>
      <c r="G223" s="11"/>
      <c r="H223" s="11"/>
      <c r="I223" s="11"/>
      <c r="J223" s="11"/>
      <c r="K223" s="11"/>
      <c r="L223" s="11"/>
      <c r="M223" s="27"/>
    </row>
    <row r="224" spans="2:13">
      <c r="B224" s="18">
        <v>18075</v>
      </c>
      <c r="C224" s="11" t="str">
        <f t="shared" si="15"/>
        <v>Support buzzer oubli extinction éclairage</v>
      </c>
      <c r="D224" s="11" t="s">
        <v>3596</v>
      </c>
      <c r="E224" s="11"/>
      <c r="F224" s="11"/>
      <c r="G224" s="11"/>
      <c r="H224" s="11"/>
      <c r="I224" s="11"/>
      <c r="J224" s="11"/>
      <c r="K224" s="11"/>
      <c r="L224" s="11"/>
      <c r="M224" s="27"/>
    </row>
    <row r="225" spans="2:13">
      <c r="B225" s="18">
        <v>30901</v>
      </c>
      <c r="C225" s="11" t="str">
        <f t="shared" si="15"/>
        <v>System de surveillance interieur</v>
      </c>
      <c r="D225" s="11" t="s">
        <v>3597</v>
      </c>
      <c r="E225" s="11"/>
      <c r="F225" s="11"/>
      <c r="G225" s="11"/>
      <c r="H225" s="11"/>
      <c r="I225" s="11"/>
      <c r="J225" s="11"/>
      <c r="K225" s="11"/>
      <c r="L225" s="11"/>
      <c r="M225" s="27"/>
    </row>
    <row r="226" spans="2:13">
      <c r="B226" s="18">
        <v>34213</v>
      </c>
      <c r="C226" s="11" t="str">
        <f t="shared" si="15"/>
        <v>Système conduite autonome</v>
      </c>
      <c r="D226" s="11" t="s">
        <v>3598</v>
      </c>
      <c r="E226" s="11"/>
      <c r="F226" s="11"/>
      <c r="G226" s="11"/>
      <c r="H226" s="11"/>
      <c r="I226" s="11"/>
      <c r="J226" s="11"/>
      <c r="K226" s="11"/>
      <c r="L226" s="11"/>
      <c r="M226" s="27"/>
    </row>
    <row r="227" spans="2:13">
      <c r="B227" s="18">
        <v>34127</v>
      </c>
      <c r="C227" s="11" t="str">
        <f t="shared" si="15"/>
        <v>Systeme communication Wifi entre vehicule</v>
      </c>
      <c r="D227" s="11" t="s">
        <v>3599</v>
      </c>
      <c r="E227" s="11"/>
      <c r="F227" s="11"/>
      <c r="G227" s="11"/>
      <c r="H227" s="11"/>
      <c r="I227" s="11"/>
      <c r="J227" s="11"/>
      <c r="K227" s="11"/>
      <c r="L227" s="11"/>
      <c r="M227" s="27"/>
    </row>
    <row r="228" spans="2:13">
      <c r="B228" s="18">
        <v>30966</v>
      </c>
      <c r="C228" s="11" t="str">
        <f t="shared" si="15"/>
        <v>Enregistreur video</v>
      </c>
      <c r="D228" s="11" t="s">
        <v>3600</v>
      </c>
      <c r="E228" s="11"/>
      <c r="F228" s="11"/>
      <c r="G228" s="11"/>
      <c r="H228" s="11"/>
      <c r="I228" s="11"/>
      <c r="J228" s="11"/>
      <c r="K228" s="11"/>
      <c r="L228" s="11"/>
      <c r="M228" s="27"/>
    </row>
    <row r="229" spans="2:13">
      <c r="B229" s="18">
        <v>30809</v>
      </c>
      <c r="C229" s="11" t="str">
        <f t="shared" si="15"/>
        <v>Pièce process usine</v>
      </c>
      <c r="D229" s="11" t="s">
        <v>3601</v>
      </c>
      <c r="E229" s="11"/>
      <c r="F229" s="11"/>
      <c r="G229" s="11"/>
      <c r="H229" s="11"/>
      <c r="I229" s="11"/>
      <c r="J229" s="11"/>
      <c r="K229" s="11"/>
      <c r="L229" s="11"/>
      <c r="M229" s="27"/>
    </row>
    <row r="230" spans="2:13">
      <c r="B230" s="18">
        <v>35732</v>
      </c>
      <c r="C230" s="11" t="str">
        <f t="shared" si="15"/>
        <v>Systeme de robot intelligent</v>
      </c>
      <c r="D230" s="11" t="s">
        <v>3602</v>
      </c>
      <c r="E230" s="11"/>
      <c r="F230" s="11"/>
      <c r="G230" s="11"/>
      <c r="H230" s="11"/>
      <c r="I230" s="11"/>
      <c r="J230" s="11"/>
      <c r="K230" s="11"/>
      <c r="L230" s="11"/>
      <c r="M230" s="27"/>
    </row>
    <row r="231" spans="2:13">
      <c r="B231" s="18">
        <v>35771</v>
      </c>
      <c r="C231" s="11" t="str">
        <f t="shared" si="15"/>
        <v>System rétroviseur intérieur intelligent</v>
      </c>
      <c r="D231" s="11" t="s">
        <v>3603</v>
      </c>
      <c r="E231" s="11"/>
      <c r="F231" s="11"/>
      <c r="G231" s="11"/>
      <c r="H231" s="11"/>
      <c r="I231" s="11"/>
      <c r="J231" s="11"/>
      <c r="K231" s="11"/>
      <c r="L231" s="11"/>
      <c r="M231" s="27"/>
    </row>
    <row r="232" spans="2:13">
      <c r="B232" s="18">
        <v>2699</v>
      </c>
      <c r="C232" s="11" t="str">
        <f t="shared" si="15"/>
        <v>Ordinateur de bord</v>
      </c>
      <c r="D232" s="11" t="s">
        <v>3604</v>
      </c>
      <c r="E232" s="11"/>
      <c r="F232" s="11"/>
      <c r="G232" s="11"/>
      <c r="H232" s="11"/>
      <c r="I232" s="11"/>
      <c r="J232" s="11"/>
      <c r="K232" s="11"/>
      <c r="L232" s="11"/>
      <c r="M232" s="27"/>
    </row>
    <row r="233" spans="2:13">
      <c r="B233" s="18">
        <v>9461</v>
      </c>
      <c r="C233" s="11" t="str">
        <f t="shared" si="15"/>
        <v>Relais</v>
      </c>
      <c r="D233" s="11" t="s">
        <v>1982</v>
      </c>
      <c r="E233" s="11"/>
      <c r="F233" s="11"/>
      <c r="G233" s="11"/>
      <c r="H233" s="11"/>
      <c r="I233" s="11"/>
      <c r="J233" s="11"/>
      <c r="K233" s="11"/>
      <c r="L233" s="11"/>
      <c r="M233" s="27"/>
    </row>
    <row r="234" spans="2:13">
      <c r="B234" s="18">
        <v>17783</v>
      </c>
      <c r="C234" s="11" t="str">
        <f t="shared" si="15"/>
        <v>Support relais</v>
      </c>
      <c r="D234" s="11" t="s">
        <v>3605</v>
      </c>
      <c r="E234" s="11"/>
      <c r="F234" s="11"/>
      <c r="G234" s="11"/>
      <c r="H234" s="11"/>
      <c r="I234" s="11"/>
      <c r="J234" s="11"/>
      <c r="K234" s="11"/>
      <c r="L234" s="11"/>
      <c r="M234" s="27"/>
    </row>
    <row r="235" spans="2:13">
      <c r="B235" s="18">
        <v>25181</v>
      </c>
      <c r="C235" s="11" t="str">
        <f t="shared" si="15"/>
        <v>Système de connexion Câble borne + vers boitier distribution arrière</v>
      </c>
      <c r="D235" s="11" t="s">
        <v>3606</v>
      </c>
      <c r="E235" s="11"/>
      <c r="F235" s="11"/>
      <c r="G235" s="11"/>
      <c r="H235" s="11"/>
      <c r="I235" s="11"/>
      <c r="J235" s="11"/>
      <c r="K235" s="11"/>
      <c r="L235" s="11"/>
      <c r="M235" s="27"/>
    </row>
    <row r="236" spans="2:13">
      <c r="B236" s="18">
        <v>31127</v>
      </c>
      <c r="C236" s="11" t="str">
        <f t="shared" si="15"/>
        <v>Système alerte sonore piéton</v>
      </c>
      <c r="D236" s="11" t="s">
        <v>3607</v>
      </c>
      <c r="E236" s="11"/>
      <c r="F236" s="11"/>
      <c r="G236" s="11"/>
      <c r="H236" s="11"/>
      <c r="I236" s="11"/>
      <c r="J236" s="11"/>
      <c r="K236" s="11"/>
      <c r="L236" s="11"/>
      <c r="M236" s="27"/>
    </row>
    <row r="237" spans="2:13">
      <c r="B237" s="501">
        <v>-1</v>
      </c>
      <c r="C237" s="8" t="s">
        <v>535</v>
      </c>
      <c r="D237" s="8"/>
      <c r="E237" s="8"/>
      <c r="F237" s="8"/>
      <c r="G237" s="8"/>
      <c r="H237" s="8"/>
      <c r="I237" s="8"/>
      <c r="J237" s="8"/>
      <c r="K237" s="8"/>
      <c r="L237" s="8"/>
      <c r="M237" s="29"/>
    </row>
    <row r="238" spans="2:13">
      <c r="B238" s="18">
        <v>2151</v>
      </c>
      <c r="C238" s="11" t="str">
        <f t="shared" ref="C238:C251" si="16">D238</f>
        <v>Système rétroviseur</v>
      </c>
      <c r="D238" s="11" t="s">
        <v>537</v>
      </c>
      <c r="E238" s="11"/>
      <c r="F238" s="11"/>
      <c r="G238" s="11"/>
      <c r="H238" s="11"/>
      <c r="I238" s="11"/>
      <c r="J238" s="11"/>
      <c r="K238" s="11"/>
      <c r="L238" s="11"/>
      <c r="M238" s="27"/>
    </row>
    <row r="239" spans="2:13">
      <c r="B239" s="18">
        <v>2241</v>
      </c>
      <c r="C239" s="11" t="str">
        <f t="shared" si="16"/>
        <v>Bac de rangement</v>
      </c>
      <c r="D239" s="11" t="s">
        <v>540</v>
      </c>
      <c r="E239" s="11"/>
      <c r="F239" s="11"/>
      <c r="G239" s="11"/>
      <c r="H239" s="11"/>
      <c r="I239" s="11"/>
      <c r="J239" s="11"/>
      <c r="K239" s="11"/>
      <c r="L239" s="11"/>
      <c r="M239" s="27"/>
    </row>
    <row r="240" spans="2:13">
      <c r="B240" s="18">
        <v>9978</v>
      </c>
      <c r="C240" s="11" t="str">
        <f t="shared" si="16"/>
        <v>Système crochets d arrimage</v>
      </c>
      <c r="D240" s="11" t="s">
        <v>3608</v>
      </c>
      <c r="E240" s="11"/>
      <c r="F240" s="11"/>
      <c r="G240" s="11"/>
      <c r="H240" s="11"/>
      <c r="I240" s="11"/>
      <c r="J240" s="11"/>
      <c r="K240" s="11"/>
      <c r="L240" s="11"/>
      <c r="M240" s="27"/>
    </row>
    <row r="241" spans="2:13">
      <c r="B241" s="18">
        <v>11249</v>
      </c>
      <c r="C241" s="11" t="str">
        <f t="shared" si="16"/>
        <v>Eclairage habitacle</v>
      </c>
      <c r="D241" s="11" t="s">
        <v>3052</v>
      </c>
      <c r="E241" s="11"/>
      <c r="F241" s="11"/>
      <c r="G241" s="11"/>
      <c r="H241" s="11"/>
      <c r="I241" s="11"/>
      <c r="J241" s="11"/>
      <c r="K241" s="11"/>
      <c r="L241" s="11"/>
      <c r="M241" s="27"/>
    </row>
    <row r="242" spans="2:13">
      <c r="B242" s="18">
        <v>10835</v>
      </c>
      <c r="C242" s="11" t="str">
        <f t="shared" si="16"/>
        <v>Eclairage d'ambiance</v>
      </c>
      <c r="D242" s="11" t="s">
        <v>3609</v>
      </c>
      <c r="E242" s="11"/>
      <c r="F242" s="11"/>
      <c r="G242" s="11"/>
      <c r="H242" s="11"/>
      <c r="I242" s="11"/>
      <c r="J242" s="11"/>
      <c r="K242" s="11"/>
      <c r="L242" s="11"/>
      <c r="M242" s="27"/>
    </row>
    <row r="243" spans="2:13">
      <c r="B243" s="18">
        <v>14007</v>
      </c>
      <c r="C243" s="11" t="str">
        <f t="shared" si="16"/>
        <v>Système faux plancher/padding</v>
      </c>
      <c r="D243" s="11" t="s">
        <v>3610</v>
      </c>
      <c r="E243" s="11"/>
      <c r="F243" s="11"/>
      <c r="G243" s="11"/>
      <c r="H243" s="11"/>
      <c r="I243" s="11"/>
      <c r="J243" s="11"/>
      <c r="K243" s="11"/>
      <c r="L243" s="11"/>
      <c r="M243" s="27"/>
    </row>
    <row r="244" spans="2:13">
      <c r="B244" s="18">
        <v>3341</v>
      </c>
      <c r="C244" s="11" t="str">
        <f t="shared" si="16"/>
        <v>Triangle de signalisation</v>
      </c>
      <c r="D244" s="11" t="s">
        <v>2254</v>
      </c>
      <c r="E244" s="11"/>
      <c r="F244" s="11"/>
      <c r="G244" s="11"/>
      <c r="H244" s="11"/>
      <c r="I244" s="11"/>
      <c r="J244" s="11"/>
      <c r="K244" s="11"/>
      <c r="L244" s="11"/>
      <c r="M244" s="27"/>
    </row>
    <row r="245" spans="2:13">
      <c r="B245" s="18">
        <v>5496</v>
      </c>
      <c r="C245" s="11" t="str">
        <f t="shared" si="16"/>
        <v>Trousse de secours</v>
      </c>
      <c r="D245" s="11" t="s">
        <v>3611</v>
      </c>
      <c r="E245" s="11"/>
      <c r="F245" s="11"/>
      <c r="G245" s="11"/>
      <c r="H245" s="11"/>
      <c r="I245" s="11"/>
      <c r="J245" s="11"/>
      <c r="K245" s="11"/>
      <c r="L245" s="11"/>
      <c r="M245" s="27"/>
    </row>
    <row r="246" spans="2:13">
      <c r="B246" s="18">
        <v>5497</v>
      </c>
      <c r="C246" s="11" t="str">
        <f t="shared" si="16"/>
        <v>Support de trousse de secours</v>
      </c>
      <c r="D246" s="11" t="s">
        <v>3612</v>
      </c>
      <c r="E246" s="11"/>
      <c r="F246" s="11"/>
      <c r="G246" s="11"/>
      <c r="H246" s="11"/>
      <c r="I246" s="11"/>
      <c r="J246" s="11"/>
      <c r="K246" s="11"/>
      <c r="L246" s="11"/>
      <c r="M246" s="27"/>
    </row>
    <row r="247" spans="2:13">
      <c r="B247" s="18">
        <v>8440</v>
      </c>
      <c r="C247" s="11" t="str">
        <f t="shared" si="16"/>
        <v>Extincteur</v>
      </c>
      <c r="D247" s="11" t="s">
        <v>2486</v>
      </c>
      <c r="E247" s="11"/>
      <c r="F247" s="11"/>
      <c r="G247" s="11"/>
      <c r="H247" s="11"/>
      <c r="I247" s="11"/>
      <c r="J247" s="11"/>
      <c r="K247" s="11"/>
      <c r="L247" s="11"/>
      <c r="M247" s="27"/>
    </row>
    <row r="248" spans="2:13">
      <c r="B248" s="18">
        <v>10611</v>
      </c>
      <c r="C248" s="11" t="str">
        <f t="shared" si="16"/>
        <v>Support extincteur</v>
      </c>
      <c r="D248" s="11" t="s">
        <v>3613</v>
      </c>
      <c r="E248" s="11"/>
      <c r="F248" s="11"/>
      <c r="G248" s="11"/>
      <c r="H248" s="11"/>
      <c r="I248" s="11"/>
      <c r="J248" s="11"/>
      <c r="K248" s="11"/>
      <c r="L248" s="11"/>
      <c r="M248" s="27"/>
    </row>
    <row r="249" spans="2:13">
      <c r="B249" s="18">
        <v>35199</v>
      </c>
      <c r="C249" s="11" t="str">
        <f t="shared" si="16"/>
        <v>Rideau pare soleil</v>
      </c>
      <c r="D249" s="11" t="s">
        <v>3614</v>
      </c>
      <c r="E249" s="11"/>
      <c r="F249" s="11"/>
      <c r="G249" s="11"/>
      <c r="H249" s="11"/>
      <c r="I249" s="11"/>
      <c r="J249" s="11"/>
      <c r="K249" s="11"/>
      <c r="L249" s="11"/>
      <c r="M249" s="27"/>
    </row>
    <row r="250" spans="2:13">
      <c r="B250" s="18">
        <v>37348</v>
      </c>
      <c r="C250" s="11" t="str">
        <f t="shared" si="16"/>
        <v>Pare soleil custode</v>
      </c>
      <c r="D250" s="11" t="s">
        <v>3615</v>
      </c>
      <c r="E250" s="11"/>
      <c r="F250" s="11"/>
      <c r="G250" s="11"/>
      <c r="H250" s="11"/>
      <c r="I250" s="11"/>
      <c r="J250" s="11"/>
      <c r="K250" s="11"/>
      <c r="L250" s="11"/>
      <c r="M250" s="27"/>
    </row>
    <row r="251" spans="2:13">
      <c r="B251" s="18">
        <v>39918</v>
      </c>
      <c r="C251" s="11" t="str">
        <f t="shared" si="16"/>
        <v>Coussin</v>
      </c>
      <c r="D251" s="11" t="s">
        <v>3616</v>
      </c>
      <c r="E251" s="11"/>
      <c r="F251" s="11"/>
      <c r="G251" s="11"/>
      <c r="H251" s="11"/>
      <c r="I251" s="11"/>
      <c r="J251" s="11"/>
      <c r="K251" s="11"/>
      <c r="L251" s="11"/>
      <c r="M251" s="27"/>
    </row>
    <row r="252" spans="2:13">
      <c r="B252" s="501">
        <v>-1</v>
      </c>
      <c r="C252" s="8" t="s">
        <v>2190</v>
      </c>
      <c r="D252" s="8"/>
      <c r="E252" s="8"/>
      <c r="F252" s="8"/>
      <c r="G252" s="8"/>
      <c r="H252" s="8"/>
      <c r="I252" s="8"/>
      <c r="J252" s="8"/>
      <c r="K252" s="8"/>
      <c r="L252" s="8"/>
      <c r="M252" s="29"/>
    </row>
    <row r="253" spans="2:13">
      <c r="B253" s="18">
        <v>25</v>
      </c>
      <c r="C253" s="11" t="str">
        <f t="shared" ref="C253:C254" si="17">D253</f>
        <v>Module de réparation</v>
      </c>
      <c r="D253" s="11" t="s">
        <v>2191</v>
      </c>
      <c r="E253" s="11"/>
      <c r="F253" s="11"/>
      <c r="G253" s="11"/>
      <c r="H253" s="11"/>
      <c r="I253" s="11"/>
      <c r="J253" s="11"/>
      <c r="K253" s="11"/>
      <c r="L253" s="11"/>
      <c r="M253" s="27"/>
    </row>
    <row r="254" spans="2:13">
      <c r="B254" s="18">
        <v>7134</v>
      </c>
      <c r="C254" s="11" t="str">
        <f t="shared" si="17"/>
        <v>Gaz bonbonne air</v>
      </c>
      <c r="D254" s="11" t="s">
        <v>3617</v>
      </c>
      <c r="E254" s="11"/>
      <c r="F254" s="11"/>
      <c r="G254" s="11"/>
      <c r="H254" s="11"/>
      <c r="I254" s="11"/>
      <c r="J254" s="11"/>
      <c r="K254" s="11"/>
      <c r="L254" s="11"/>
      <c r="M254" s="27"/>
    </row>
    <row r="255" spans="2:13">
      <c r="B255" s="501">
        <v>-1</v>
      </c>
      <c r="C255" s="8" t="s">
        <v>553</v>
      </c>
      <c r="D255" s="8"/>
      <c r="E255" s="8"/>
      <c r="F255" s="8"/>
      <c r="G255" s="8"/>
      <c r="H255" s="8"/>
      <c r="I255" s="8"/>
      <c r="J255" s="8"/>
      <c r="K255" s="8"/>
      <c r="L255" s="8"/>
      <c r="M255" s="29"/>
    </row>
    <row r="256" spans="2:13">
      <c r="B256" s="18">
        <v>-1</v>
      </c>
      <c r="C256" s="11" t="str">
        <f t="shared" ref="C256:C263" si="18">D256</f>
        <v>3EME FEU STOP</v>
      </c>
      <c r="D256" s="11" t="s">
        <v>555</v>
      </c>
      <c r="E256" s="11"/>
      <c r="F256" s="11"/>
      <c r="G256" s="11"/>
      <c r="H256" s="11"/>
      <c r="I256" s="11"/>
      <c r="J256" s="11"/>
      <c r="K256" s="11"/>
      <c r="L256" s="11"/>
      <c r="M256" s="27"/>
    </row>
    <row r="257" spans="2:13">
      <c r="B257" s="18">
        <v>-1</v>
      </c>
      <c r="C257" s="11" t="str">
        <f t="shared" si="18"/>
        <v>AB AR</v>
      </c>
      <c r="D257" s="11" t="s">
        <v>2244</v>
      </c>
      <c r="E257" s="11"/>
      <c r="F257" s="11"/>
      <c r="G257" s="11"/>
      <c r="H257" s="11"/>
      <c r="I257" s="11"/>
      <c r="J257" s="11"/>
      <c r="K257" s="11"/>
      <c r="L257" s="11"/>
      <c r="M257" s="27"/>
    </row>
    <row r="258" spans="2:13">
      <c r="B258" s="18">
        <v>-1</v>
      </c>
      <c r="C258" s="11" t="str">
        <f t="shared" si="18"/>
        <v>AB AV</v>
      </c>
      <c r="D258" s="11" t="s">
        <v>3618</v>
      </c>
      <c r="E258" s="11"/>
      <c r="F258" s="11"/>
      <c r="G258" s="11"/>
      <c r="H258" s="11"/>
      <c r="I258" s="11"/>
      <c r="J258" s="11"/>
      <c r="K258" s="11"/>
      <c r="L258" s="11"/>
      <c r="M258" s="27"/>
    </row>
    <row r="259" spans="2:13">
      <c r="B259" s="18">
        <v>-1</v>
      </c>
      <c r="C259" s="11" t="str">
        <f t="shared" si="18"/>
        <v>DRL</v>
      </c>
      <c r="D259" s="11" t="s">
        <v>561</v>
      </c>
      <c r="E259" s="11"/>
      <c r="F259" s="11"/>
      <c r="G259" s="11"/>
      <c r="H259" s="11"/>
      <c r="I259" s="11"/>
      <c r="J259" s="11"/>
      <c r="K259" s="11"/>
      <c r="L259" s="11"/>
      <c r="M259" s="27"/>
    </row>
    <row r="260" spans="2:13">
      <c r="B260" s="18">
        <v>-1</v>
      </c>
      <c r="C260" s="11" t="str">
        <f t="shared" si="18"/>
        <v>ECLAIRAGE PLAQUE POLICE</v>
      </c>
      <c r="D260" s="11" t="s">
        <v>2237</v>
      </c>
      <c r="E260" s="11"/>
      <c r="F260" s="11"/>
      <c r="G260" s="11"/>
      <c r="H260" s="11"/>
      <c r="I260" s="11"/>
      <c r="J260" s="11"/>
      <c r="K260" s="11"/>
      <c r="L260" s="11"/>
      <c r="M260" s="27"/>
    </row>
    <row r="261" spans="2:13">
      <c r="B261" s="18">
        <v>-1</v>
      </c>
      <c r="C261" s="11" t="str">
        <f t="shared" si="18"/>
        <v>EQUIPEMENT ECLAIRAGE</v>
      </c>
      <c r="D261" s="11" t="s">
        <v>2230</v>
      </c>
      <c r="E261" s="11"/>
      <c r="F261" s="11"/>
      <c r="G261" s="11"/>
      <c r="H261" s="11"/>
      <c r="I261" s="11"/>
      <c r="J261" s="11"/>
      <c r="K261" s="11"/>
      <c r="L261" s="11"/>
      <c r="M261" s="27"/>
    </row>
    <row r="262" spans="2:13">
      <c r="B262" s="18">
        <v>-1</v>
      </c>
      <c r="C262" s="11" t="str">
        <f t="shared" si="18"/>
        <v>FEUX AR</v>
      </c>
      <c r="D262" s="11" t="s">
        <v>562</v>
      </c>
      <c r="E262" s="11"/>
      <c r="F262" s="11"/>
      <c r="G262" s="11"/>
      <c r="H262" s="11"/>
      <c r="I262" s="11"/>
      <c r="J262" s="11"/>
      <c r="K262" s="11"/>
      <c r="L262" s="11"/>
      <c r="M262" s="27"/>
    </row>
    <row r="263" spans="2:13">
      <c r="B263" s="18">
        <v>-1</v>
      </c>
      <c r="C263" s="11" t="str">
        <f t="shared" si="18"/>
        <v>PROJECTEURS</v>
      </c>
      <c r="D263" s="11" t="s">
        <v>564</v>
      </c>
      <c r="E263" s="11"/>
      <c r="F263" s="11"/>
      <c r="G263" s="11"/>
      <c r="H263" s="11"/>
      <c r="I263" s="11"/>
      <c r="J263" s="11"/>
      <c r="K263" s="11"/>
      <c r="L263" s="11"/>
      <c r="M263" s="27"/>
    </row>
    <row r="264" spans="2:13">
      <c r="B264" s="501">
        <v>-1</v>
      </c>
      <c r="C264" s="8" t="s">
        <v>566</v>
      </c>
      <c r="D264" s="8"/>
      <c r="E264" s="8"/>
      <c r="F264" s="8"/>
      <c r="G264" s="8"/>
      <c r="H264" s="8"/>
      <c r="I264" s="8"/>
      <c r="J264" s="8"/>
      <c r="K264" s="8"/>
      <c r="L264" s="8"/>
      <c r="M264" s="29"/>
    </row>
    <row r="265" spans="2:13">
      <c r="B265" s="18">
        <v>7492</v>
      </c>
      <c r="C265" s="11" t="str">
        <f t="shared" ref="C265:C266" si="19">D265</f>
        <v>Ecrans aérodynamiques</v>
      </c>
      <c r="D265" s="11" t="s">
        <v>3619</v>
      </c>
      <c r="E265" s="11"/>
      <c r="F265" s="11"/>
      <c r="G265" s="11"/>
      <c r="H265" s="11"/>
      <c r="I265" s="11"/>
      <c r="J265" s="11"/>
      <c r="K265" s="11"/>
      <c r="L265" s="11"/>
      <c r="M265" s="27"/>
    </row>
    <row r="266" spans="2:13">
      <c r="B266" s="18">
        <v>14855</v>
      </c>
      <c r="C266" s="11" t="str">
        <f t="shared" si="19"/>
        <v>Déflecteurs sous caisse</v>
      </c>
      <c r="D266" s="11" t="s">
        <v>3620</v>
      </c>
      <c r="E266" s="11"/>
      <c r="F266" s="11"/>
      <c r="G266" s="11"/>
      <c r="H266" s="11"/>
      <c r="I266" s="11"/>
      <c r="J266" s="11"/>
      <c r="K266" s="11"/>
      <c r="L266" s="11"/>
      <c r="M266" s="27"/>
    </row>
    <row r="267" spans="2:13">
      <c r="B267" s="501">
        <v>-1</v>
      </c>
      <c r="C267" s="8" t="s">
        <v>590</v>
      </c>
      <c r="D267" s="8"/>
      <c r="E267" s="8"/>
      <c r="F267" s="8"/>
      <c r="G267" s="8"/>
      <c r="H267" s="8"/>
      <c r="I267" s="8"/>
      <c r="J267" s="8"/>
      <c r="K267" s="8"/>
      <c r="L267" s="8"/>
      <c r="M267" s="29"/>
    </row>
    <row r="268" spans="2:13">
      <c r="B268" s="18">
        <v>1289</v>
      </c>
      <c r="C268" s="11" t="str">
        <f t="shared" ref="C268:C271" si="20">D268</f>
        <v>ESSUYAGE AR</v>
      </c>
      <c r="D268" s="11" t="s">
        <v>2902</v>
      </c>
      <c r="E268" s="11"/>
      <c r="F268" s="11"/>
      <c r="G268" s="11"/>
      <c r="H268" s="11"/>
      <c r="I268" s="11"/>
      <c r="J268" s="11"/>
      <c r="K268" s="11"/>
      <c r="L268" s="11"/>
      <c r="M268" s="27"/>
    </row>
    <row r="269" spans="2:13">
      <c r="B269" s="18">
        <v>42</v>
      </c>
      <c r="C269" s="11" t="str">
        <f t="shared" si="20"/>
        <v>ESSUYAGE AV</v>
      </c>
      <c r="D269" s="11" t="s">
        <v>2271</v>
      </c>
      <c r="E269" s="11"/>
      <c r="F269" s="11"/>
      <c r="G269" s="11"/>
      <c r="H269" s="11"/>
      <c r="I269" s="11"/>
      <c r="J269" s="11"/>
      <c r="K269" s="11"/>
      <c r="L269" s="11"/>
      <c r="M269" s="27"/>
    </row>
    <row r="270" spans="2:13">
      <c r="B270" s="18">
        <v>5101</v>
      </c>
      <c r="C270" s="11" t="str">
        <f t="shared" si="20"/>
        <v>LIQUIDE LAVE GLACE</v>
      </c>
      <c r="D270" s="11" t="s">
        <v>3621</v>
      </c>
      <c r="E270" s="11"/>
      <c r="F270" s="11"/>
      <c r="G270" s="11"/>
      <c r="H270" s="11"/>
      <c r="I270" s="11"/>
      <c r="J270" s="11"/>
      <c r="K270" s="11"/>
      <c r="L270" s="11"/>
      <c r="M270" s="27"/>
    </row>
    <row r="271" spans="2:13">
      <c r="B271" s="18">
        <v>2446</v>
      </c>
      <c r="C271" s="11" t="str">
        <f t="shared" si="20"/>
        <v>SYSTÈME LAVAGE</v>
      </c>
      <c r="D271" s="11" t="s">
        <v>2888</v>
      </c>
      <c r="E271" s="11"/>
      <c r="F271" s="11"/>
      <c r="G271" s="11"/>
      <c r="H271" s="11"/>
      <c r="I271" s="11"/>
      <c r="J271" s="11"/>
      <c r="K271" s="11"/>
      <c r="L271" s="11"/>
      <c r="M271" s="27"/>
    </row>
    <row r="272" spans="2:13">
      <c r="B272" s="501">
        <v>-1</v>
      </c>
      <c r="C272" s="8" t="s">
        <v>602</v>
      </c>
      <c r="D272" s="8"/>
      <c r="E272" s="8"/>
      <c r="F272" s="8"/>
      <c r="G272" s="8"/>
      <c r="H272" s="8"/>
      <c r="I272" s="8"/>
      <c r="J272" s="8"/>
      <c r="K272" s="8"/>
      <c r="L272" s="8"/>
      <c r="M272" s="29"/>
    </row>
    <row r="273" spans="2:13">
      <c r="B273" s="18">
        <v>2155</v>
      </c>
      <c r="C273" s="11" t="str">
        <f>D273</f>
        <v>Module avant/refroidissement</v>
      </c>
      <c r="D273" s="11" t="s">
        <v>3622</v>
      </c>
      <c r="E273" s="11"/>
      <c r="F273" s="11"/>
      <c r="G273" s="11"/>
      <c r="H273" s="11"/>
      <c r="I273" s="11"/>
      <c r="J273" s="11"/>
      <c r="K273" s="11"/>
      <c r="L273" s="11"/>
      <c r="M273" s="27"/>
    </row>
    <row r="274" spans="2:13">
      <c r="B274" s="501">
        <v>-1</v>
      </c>
      <c r="C274" s="8" t="s">
        <v>612</v>
      </c>
      <c r="D274" s="8"/>
      <c r="E274" s="8"/>
      <c r="F274" s="8"/>
      <c r="G274" s="8"/>
      <c r="H274" s="8"/>
      <c r="I274" s="8"/>
      <c r="J274" s="8"/>
      <c r="K274" s="8"/>
      <c r="L274" s="8"/>
      <c r="M274" s="29"/>
    </row>
    <row r="275" spans="2:13">
      <c r="B275" s="18">
        <v>38</v>
      </c>
      <c r="C275" s="11" t="str">
        <f t="shared" ref="C275:C282" si="21">D275</f>
        <v>Faisceau</v>
      </c>
      <c r="D275" s="11" t="s">
        <v>1073</v>
      </c>
      <c r="E275" s="11"/>
      <c r="F275" s="11"/>
      <c r="G275" s="11"/>
      <c r="H275" s="11"/>
      <c r="I275" s="11"/>
      <c r="J275" s="11"/>
      <c r="K275" s="11"/>
      <c r="L275" s="11"/>
      <c r="M275" s="27"/>
    </row>
    <row r="276" spans="2:13">
      <c r="B276" s="18">
        <v>27894</v>
      </c>
      <c r="C276" s="11" t="str">
        <f t="shared" si="21"/>
        <v>Câblage de puissance</v>
      </c>
      <c r="D276" s="11" t="s">
        <v>1109</v>
      </c>
      <c r="E276" s="11"/>
      <c r="F276" s="11"/>
      <c r="G276" s="11"/>
      <c r="H276" s="11"/>
      <c r="I276" s="11"/>
      <c r="J276" s="11"/>
      <c r="K276" s="11"/>
      <c r="L276" s="11"/>
      <c r="M276" s="27"/>
    </row>
    <row r="277" spans="2:13">
      <c r="B277" s="18">
        <v>27895</v>
      </c>
      <c r="C277" s="11" t="str">
        <f t="shared" si="21"/>
        <v>Câble de masse</v>
      </c>
      <c r="D277" s="11" t="s">
        <v>3623</v>
      </c>
      <c r="E277" s="11"/>
      <c r="F277" s="11"/>
      <c r="G277" s="11"/>
      <c r="H277" s="11"/>
      <c r="I277" s="11"/>
      <c r="J277" s="11"/>
      <c r="K277" s="11"/>
      <c r="L277" s="11"/>
      <c r="M277" s="27"/>
    </row>
    <row r="278" spans="2:13">
      <c r="B278" s="18">
        <v>12576</v>
      </c>
      <c r="C278" s="11" t="str">
        <f t="shared" si="21"/>
        <v>Systeme support faisceaux</v>
      </c>
      <c r="D278" s="11" t="s">
        <v>1149</v>
      </c>
      <c r="E278" s="11"/>
      <c r="F278" s="11"/>
      <c r="G278" s="11"/>
      <c r="H278" s="11"/>
      <c r="I278" s="11"/>
      <c r="J278" s="11"/>
      <c r="K278" s="11"/>
      <c r="L278" s="11"/>
      <c r="M278" s="27"/>
    </row>
    <row r="279" spans="2:13">
      <c r="B279" s="18">
        <v>12734</v>
      </c>
      <c r="C279" s="11" t="str">
        <f t="shared" si="21"/>
        <v>Système guide de faisceau</v>
      </c>
      <c r="D279" s="11" t="s">
        <v>3624</v>
      </c>
      <c r="E279" s="11"/>
      <c r="F279" s="11"/>
      <c r="G279" s="11"/>
      <c r="H279" s="11"/>
      <c r="I279" s="11"/>
      <c r="J279" s="11"/>
      <c r="K279" s="11"/>
      <c r="L279" s="11"/>
      <c r="M279" s="27"/>
    </row>
    <row r="280" spans="2:13">
      <c r="B280" s="18">
        <v>5575</v>
      </c>
      <c r="C280" s="11" t="str">
        <f t="shared" si="21"/>
        <v>Protection de faisceau</v>
      </c>
      <c r="D280" s="11" t="s">
        <v>3625</v>
      </c>
      <c r="E280" s="11"/>
      <c r="F280" s="11"/>
      <c r="G280" s="11"/>
      <c r="H280" s="11"/>
      <c r="I280" s="11"/>
      <c r="J280" s="11"/>
      <c r="K280" s="11"/>
      <c r="L280" s="11"/>
      <c r="M280" s="27"/>
    </row>
    <row r="281" spans="2:13">
      <c r="B281" s="18">
        <v>-1</v>
      </c>
      <c r="C281" s="11" t="str">
        <f t="shared" si="21"/>
        <v>CABLES HT</v>
      </c>
      <c r="D281" s="11" t="s">
        <v>3626</v>
      </c>
      <c r="E281" s="11"/>
      <c r="F281" s="11"/>
      <c r="G281" s="11"/>
      <c r="H281" s="11"/>
      <c r="I281" s="11"/>
      <c r="J281" s="11"/>
      <c r="K281" s="11"/>
      <c r="L281" s="11"/>
      <c r="M281" s="27"/>
    </row>
    <row r="282" spans="2:13">
      <c r="B282" s="18">
        <v>-1</v>
      </c>
      <c r="C282" s="11" t="str">
        <f t="shared" si="21"/>
        <v>DIVERS FAISCEAUX</v>
      </c>
      <c r="D282" s="11" t="s">
        <v>3627</v>
      </c>
      <c r="E282" s="11"/>
      <c r="F282" s="11"/>
      <c r="G282" s="11"/>
      <c r="H282" s="11"/>
      <c r="I282" s="11"/>
      <c r="J282" s="11"/>
      <c r="K282" s="11"/>
      <c r="L282" s="11"/>
      <c r="M282" s="27"/>
    </row>
    <row r="283" spans="2:13">
      <c r="B283" s="501">
        <v>-1</v>
      </c>
      <c r="C283" s="8" t="s">
        <v>626</v>
      </c>
      <c r="D283" s="8"/>
      <c r="E283" s="8"/>
      <c r="F283" s="8"/>
      <c r="G283" s="8"/>
      <c r="H283" s="8"/>
      <c r="I283" s="8"/>
      <c r="J283" s="8"/>
      <c r="K283" s="8"/>
      <c r="L283" s="8"/>
      <c r="M283" s="29"/>
    </row>
    <row r="284" spans="2:13">
      <c r="B284" s="18">
        <v>-1</v>
      </c>
      <c r="C284" s="11" t="str">
        <f t="shared" ref="C284:C290" si="22">D284</f>
        <v>ABS / ESP</v>
      </c>
      <c r="D284" s="11" t="s">
        <v>628</v>
      </c>
      <c r="E284" s="11"/>
      <c r="F284" s="11"/>
      <c r="G284" s="11"/>
      <c r="H284" s="11"/>
      <c r="I284" s="11"/>
      <c r="J284" s="11"/>
      <c r="K284" s="11"/>
      <c r="L284" s="11"/>
      <c r="M284" s="27"/>
    </row>
    <row r="285" spans="2:13">
      <c r="B285" s="18">
        <v>-1</v>
      </c>
      <c r="C285" s="11" t="str">
        <f t="shared" si="22"/>
        <v>AMCT</v>
      </c>
      <c r="D285" s="11" t="s">
        <v>629</v>
      </c>
      <c r="E285" s="11"/>
      <c r="F285" s="11"/>
      <c r="G285" s="11"/>
      <c r="H285" s="11"/>
      <c r="I285" s="11"/>
      <c r="J285" s="11"/>
      <c r="K285" s="11"/>
      <c r="L285" s="11"/>
      <c r="M285" s="27"/>
    </row>
    <row r="286" spans="2:13">
      <c r="B286" s="18">
        <v>-1</v>
      </c>
      <c r="C286" s="11" t="str">
        <f t="shared" si="22"/>
        <v>EQUIPEMENT FRN</v>
      </c>
      <c r="D286" s="11" t="s">
        <v>1792</v>
      </c>
      <c r="E286" s="11"/>
      <c r="F286" s="11"/>
      <c r="G286" s="11"/>
      <c r="H286" s="11"/>
      <c r="I286" s="11"/>
      <c r="J286" s="11"/>
      <c r="K286" s="11"/>
      <c r="L286" s="11"/>
      <c r="M286" s="27"/>
    </row>
    <row r="287" spans="2:13">
      <c r="B287" s="18">
        <v>-1</v>
      </c>
      <c r="C287" s="11" t="str">
        <f t="shared" si="22"/>
        <v>FREIN A MAIN</v>
      </c>
      <c r="D287" s="11" t="s">
        <v>633</v>
      </c>
      <c r="E287" s="11"/>
      <c r="F287" s="11"/>
      <c r="G287" s="11"/>
      <c r="H287" s="11"/>
      <c r="I287" s="11"/>
      <c r="J287" s="11"/>
      <c r="K287" s="11"/>
      <c r="L287" s="11"/>
      <c r="M287" s="27"/>
    </row>
    <row r="288" spans="2:13">
      <c r="B288" s="18">
        <v>-1</v>
      </c>
      <c r="C288" s="11" t="str">
        <f t="shared" si="22"/>
        <v>FREIN AR</v>
      </c>
      <c r="D288" s="11" t="s">
        <v>637</v>
      </c>
      <c r="E288" s="11"/>
      <c r="F288" s="11"/>
      <c r="G288" s="11"/>
      <c r="H288" s="11"/>
      <c r="I288" s="11"/>
      <c r="J288" s="11"/>
      <c r="K288" s="11"/>
      <c r="L288" s="11"/>
      <c r="M288" s="27"/>
    </row>
    <row r="289" spans="2:13">
      <c r="B289" s="18">
        <v>-1</v>
      </c>
      <c r="C289" s="11" t="str">
        <f t="shared" si="22"/>
        <v>FREIN AV</v>
      </c>
      <c r="D289" s="11" t="s">
        <v>649</v>
      </c>
      <c r="E289" s="11"/>
      <c r="F289" s="11"/>
      <c r="G289" s="11"/>
      <c r="H289" s="11"/>
      <c r="I289" s="11"/>
      <c r="J289" s="11"/>
      <c r="K289" s="11"/>
      <c r="L289" s="11"/>
      <c r="M289" s="27"/>
    </row>
    <row r="290" spans="2:13">
      <c r="B290" s="18">
        <v>-1</v>
      </c>
      <c r="C290" s="11" t="str">
        <f t="shared" si="22"/>
        <v>PAV</v>
      </c>
      <c r="D290" s="11" t="s">
        <v>1387</v>
      </c>
      <c r="E290" s="11"/>
      <c r="F290" s="11"/>
      <c r="G290" s="11"/>
      <c r="H290" s="11"/>
      <c r="I290" s="11"/>
      <c r="J290" s="11"/>
      <c r="K290" s="11"/>
      <c r="L290" s="11"/>
      <c r="M290" s="27"/>
    </row>
    <row r="291" spans="2:13">
      <c r="B291" s="501">
        <v>-1</v>
      </c>
      <c r="C291" s="8" t="s">
        <v>657</v>
      </c>
      <c r="D291" s="8"/>
      <c r="E291" s="8"/>
      <c r="F291" s="8"/>
      <c r="G291" s="8"/>
      <c r="H291" s="8"/>
      <c r="I291" s="8"/>
      <c r="J291" s="8"/>
      <c r="K291" s="8"/>
      <c r="L291" s="8"/>
      <c r="M291" s="29"/>
    </row>
    <row r="292" spans="2:13">
      <c r="B292" s="18">
        <v>-1</v>
      </c>
      <c r="C292" s="11" t="str">
        <f t="shared" ref="C292:C294" si="23">D292</f>
        <v>EQUIPEMENT GARNISSAGE PAVILLON</v>
      </c>
      <c r="D292" s="11" t="s">
        <v>659</v>
      </c>
      <c r="E292" s="11"/>
      <c r="F292" s="11"/>
      <c r="G292" s="11"/>
      <c r="H292" s="11"/>
      <c r="I292" s="11"/>
      <c r="J292" s="11"/>
      <c r="K292" s="11"/>
      <c r="L292" s="11"/>
      <c r="M292" s="27"/>
    </row>
    <row r="293" spans="2:13">
      <c r="B293" s="18">
        <v>-1</v>
      </c>
      <c r="C293" s="11" t="str">
        <f t="shared" si="23"/>
        <v>GARNISSAGE CAISSE/CARROSSERIE</v>
      </c>
      <c r="D293" s="11" t="s">
        <v>662</v>
      </c>
      <c r="E293" s="11"/>
      <c r="F293" s="11"/>
      <c r="G293" s="11"/>
      <c r="H293" s="11"/>
      <c r="I293" s="11"/>
      <c r="J293" s="11"/>
      <c r="K293" s="11"/>
      <c r="L293" s="11"/>
      <c r="M293" s="27"/>
    </row>
    <row r="294" spans="2:13">
      <c r="B294" s="18">
        <v>-1</v>
      </c>
      <c r="C294" s="11" t="str">
        <f t="shared" si="23"/>
        <v>GARNISSAGE PAVILLON</v>
      </c>
      <c r="D294" s="11" t="s">
        <v>663</v>
      </c>
      <c r="E294" s="11"/>
      <c r="F294" s="11"/>
      <c r="G294" s="11"/>
      <c r="H294" s="11"/>
      <c r="I294" s="11"/>
      <c r="J294" s="11"/>
      <c r="K294" s="11"/>
      <c r="L294" s="11"/>
      <c r="M294" s="27"/>
    </row>
    <row r="295" spans="2:13">
      <c r="B295" s="501">
        <v>-1</v>
      </c>
      <c r="C295" s="8" t="s">
        <v>664</v>
      </c>
      <c r="D295" s="8"/>
      <c r="E295" s="8"/>
      <c r="F295" s="8"/>
      <c r="G295" s="8"/>
      <c r="H295" s="8"/>
      <c r="I295" s="8"/>
      <c r="J295" s="8"/>
      <c r="K295" s="8"/>
      <c r="L295" s="8"/>
      <c r="M295" s="29"/>
    </row>
    <row r="296" spans="2:13">
      <c r="B296" s="18">
        <v>88</v>
      </c>
      <c r="C296" s="11" t="str">
        <f t="shared" ref="C296:C319" si="24">D296</f>
        <v>Système de carburation essence</v>
      </c>
      <c r="D296" s="11" t="s">
        <v>3628</v>
      </c>
      <c r="E296" s="11"/>
      <c r="F296" s="11"/>
      <c r="G296" s="11"/>
      <c r="H296" s="11"/>
      <c r="I296" s="11"/>
      <c r="J296" s="11"/>
      <c r="K296" s="11"/>
      <c r="L296" s="11"/>
      <c r="M296" s="27"/>
    </row>
    <row r="297" spans="2:13">
      <c r="B297" s="18">
        <v>3158</v>
      </c>
      <c r="C297" s="11" t="str">
        <f t="shared" si="24"/>
        <v>Système de carburation Diesel</v>
      </c>
      <c r="D297" s="11" t="s">
        <v>3629</v>
      </c>
      <c r="E297" s="11"/>
      <c r="F297" s="11"/>
      <c r="G297" s="11"/>
      <c r="H297" s="11"/>
      <c r="I297" s="11"/>
      <c r="J297" s="11"/>
      <c r="K297" s="11"/>
      <c r="L297" s="11"/>
      <c r="M297" s="27"/>
    </row>
    <row r="298" spans="2:13">
      <c r="B298" s="18">
        <v>-1</v>
      </c>
      <c r="C298" s="11" t="str">
        <f t="shared" si="24"/>
        <v>BLOC MOTEUR</v>
      </c>
      <c r="D298" s="11" t="s">
        <v>666</v>
      </c>
      <c r="E298" s="11"/>
      <c r="F298" s="11"/>
      <c r="G298" s="11"/>
      <c r="H298" s="11"/>
      <c r="I298" s="11"/>
      <c r="J298" s="11"/>
      <c r="K298" s="11"/>
      <c r="L298" s="11"/>
      <c r="M298" s="27"/>
    </row>
    <row r="299" spans="2:13">
      <c r="B299" s="18">
        <v>1639</v>
      </c>
      <c r="C299" s="11" t="str">
        <f t="shared" si="24"/>
        <v>Culasse</v>
      </c>
      <c r="D299" s="11" t="s">
        <v>3630</v>
      </c>
      <c r="E299" s="11"/>
      <c r="F299" s="11"/>
      <c r="G299" s="11"/>
      <c r="H299" s="11"/>
      <c r="I299" s="11"/>
      <c r="J299" s="11"/>
      <c r="K299" s="11"/>
      <c r="L299" s="11"/>
      <c r="M299" s="27"/>
    </row>
    <row r="300" spans="2:13">
      <c r="B300" s="18">
        <v>2072</v>
      </c>
      <c r="C300" s="11" t="str">
        <f t="shared" si="24"/>
        <v>Système embiellage</v>
      </c>
      <c r="D300" s="11" t="s">
        <v>3631</v>
      </c>
      <c r="E300" s="11"/>
      <c r="F300" s="11"/>
      <c r="G300" s="11"/>
      <c r="H300" s="11"/>
      <c r="I300" s="11"/>
      <c r="J300" s="11"/>
      <c r="K300" s="11"/>
      <c r="L300" s="11"/>
      <c r="M300" s="27"/>
    </row>
    <row r="301" spans="2:13">
      <c r="B301" s="18">
        <v>2070</v>
      </c>
      <c r="C301" s="11" t="str">
        <f t="shared" si="24"/>
        <v>Système de distribution</v>
      </c>
      <c r="D301" s="11" t="s">
        <v>3632</v>
      </c>
      <c r="E301" s="11"/>
      <c r="F301" s="11"/>
      <c r="G301" s="11"/>
      <c r="H301" s="11"/>
      <c r="I301" s="11"/>
      <c r="J301" s="11"/>
      <c r="K301" s="11"/>
      <c r="L301" s="11"/>
      <c r="M301" s="27"/>
    </row>
    <row r="302" spans="2:13">
      <c r="B302" s="18">
        <v>2082</v>
      </c>
      <c r="C302" s="11" t="str">
        <f t="shared" si="24"/>
        <v>Système de lubrification</v>
      </c>
      <c r="D302" s="11" t="s">
        <v>3633</v>
      </c>
      <c r="E302" s="11"/>
      <c r="F302" s="11"/>
      <c r="G302" s="11"/>
      <c r="H302" s="11"/>
      <c r="I302" s="11"/>
      <c r="J302" s="11"/>
      <c r="K302" s="11"/>
      <c r="L302" s="11"/>
      <c r="M302" s="27"/>
    </row>
    <row r="303" spans="2:13">
      <c r="B303" s="18">
        <v>2083</v>
      </c>
      <c r="C303" s="11" t="str">
        <f t="shared" si="24"/>
        <v>Système de refroidissement</v>
      </c>
      <c r="D303" s="11" t="s">
        <v>3634</v>
      </c>
      <c r="E303" s="11"/>
      <c r="F303" s="11"/>
      <c r="G303" s="11"/>
      <c r="H303" s="11"/>
      <c r="I303" s="11"/>
      <c r="J303" s="11"/>
      <c r="K303" s="11"/>
      <c r="L303" s="11"/>
      <c r="M303" s="27"/>
    </row>
    <row r="304" spans="2:13">
      <c r="B304" s="18">
        <v>3159</v>
      </c>
      <c r="C304" s="11" t="str">
        <f t="shared" si="24"/>
        <v>Système suralimentation</v>
      </c>
      <c r="D304" s="11" t="s">
        <v>3635</v>
      </c>
      <c r="E304" s="11"/>
      <c r="F304" s="11"/>
      <c r="G304" s="11"/>
      <c r="H304" s="11"/>
      <c r="I304" s="11"/>
      <c r="J304" s="11"/>
      <c r="K304" s="11"/>
      <c r="L304" s="11"/>
      <c r="M304" s="27"/>
    </row>
    <row r="305" spans="2:13">
      <c r="B305" s="18">
        <v>3166</v>
      </c>
      <c r="C305" s="11" t="str">
        <f t="shared" si="24"/>
        <v>Cache style</v>
      </c>
      <c r="D305" s="11" t="s">
        <v>3636</v>
      </c>
      <c r="E305" s="11"/>
      <c r="F305" s="11"/>
      <c r="G305" s="11"/>
      <c r="H305" s="11"/>
      <c r="I305" s="11"/>
      <c r="J305" s="11"/>
      <c r="K305" s="11"/>
      <c r="L305" s="11"/>
      <c r="M305" s="27"/>
    </row>
    <row r="306" spans="2:13">
      <c r="B306" s="18">
        <v>13323</v>
      </c>
      <c r="C306" s="11" t="str">
        <f t="shared" si="24"/>
        <v>Système insonorisation</v>
      </c>
      <c r="D306" s="11" t="s">
        <v>3637</v>
      </c>
      <c r="E306" s="11"/>
      <c r="F306" s="11"/>
      <c r="G306" s="11"/>
      <c r="H306" s="11"/>
      <c r="I306" s="11"/>
      <c r="J306" s="11"/>
      <c r="K306" s="11"/>
      <c r="L306" s="11"/>
      <c r="M306" s="27"/>
    </row>
    <row r="307" spans="2:13">
      <c r="B307" s="18">
        <v>6258</v>
      </c>
      <c r="C307" s="11" t="str">
        <f t="shared" si="24"/>
        <v>Moteur complet</v>
      </c>
      <c r="D307" s="11" t="s">
        <v>3638</v>
      </c>
      <c r="E307" s="11"/>
      <c r="F307" s="11"/>
      <c r="G307" s="11"/>
      <c r="H307" s="11"/>
      <c r="I307" s="11"/>
      <c r="J307" s="11"/>
      <c r="K307" s="11"/>
      <c r="L307" s="11"/>
      <c r="M307" s="27"/>
    </row>
    <row r="308" spans="2:13">
      <c r="B308" s="18">
        <v>15323</v>
      </c>
      <c r="C308" s="11" t="str">
        <f t="shared" si="24"/>
        <v>Moteur nu</v>
      </c>
      <c r="D308" s="11" t="s">
        <v>3639</v>
      </c>
      <c r="E308" s="11"/>
      <c r="F308" s="11"/>
      <c r="G308" s="11"/>
      <c r="H308" s="11"/>
      <c r="I308" s="11"/>
      <c r="J308" s="11"/>
      <c r="K308" s="11"/>
      <c r="L308" s="11"/>
      <c r="M308" s="27"/>
    </row>
    <row r="309" spans="2:13">
      <c r="B309" s="18">
        <v>12956</v>
      </c>
      <c r="C309" s="11" t="str">
        <f t="shared" si="24"/>
        <v>Ensemble moteur/boite</v>
      </c>
      <c r="D309" s="11" t="s">
        <v>3640</v>
      </c>
      <c r="E309" s="11"/>
      <c r="F309" s="11"/>
      <c r="G309" s="11"/>
      <c r="H309" s="11"/>
      <c r="I309" s="11"/>
      <c r="J309" s="11"/>
      <c r="K309" s="11"/>
      <c r="L309" s="11"/>
      <c r="M309" s="27"/>
    </row>
    <row r="310" spans="2:13">
      <c r="B310" s="18">
        <v>10773</v>
      </c>
      <c r="C310" s="11" t="str">
        <f t="shared" si="24"/>
        <v>Renfort liaison moteur/boite (avant ou unique)</v>
      </c>
      <c r="D310" s="11" t="s">
        <v>3641</v>
      </c>
      <c r="E310" s="11"/>
      <c r="F310" s="11"/>
      <c r="G310" s="11"/>
      <c r="H310" s="11"/>
      <c r="I310" s="11"/>
      <c r="J310" s="11"/>
      <c r="K310" s="11"/>
      <c r="L310" s="11"/>
      <c r="M310" s="27"/>
    </row>
    <row r="311" spans="2:13">
      <c r="B311" s="18">
        <v>10774</v>
      </c>
      <c r="C311" s="11" t="str">
        <f t="shared" si="24"/>
        <v>Renfort arrière liaison moteur/boite (ou second)</v>
      </c>
      <c r="D311" s="11" t="s">
        <v>3642</v>
      </c>
      <c r="E311" s="11"/>
      <c r="F311" s="11"/>
      <c r="G311" s="11"/>
      <c r="H311" s="11"/>
      <c r="I311" s="11"/>
      <c r="J311" s="11"/>
      <c r="K311" s="11"/>
      <c r="L311" s="11"/>
      <c r="M311" s="27"/>
    </row>
    <row r="312" spans="2:13">
      <c r="B312" s="18">
        <v>5100</v>
      </c>
      <c r="C312" s="11" t="str">
        <f t="shared" si="24"/>
        <v>Huile moteur</v>
      </c>
      <c r="D312" s="11" t="s">
        <v>3643</v>
      </c>
      <c r="E312" s="11"/>
      <c r="F312" s="11"/>
      <c r="G312" s="11"/>
      <c r="H312" s="11"/>
      <c r="I312" s="11"/>
      <c r="J312" s="11"/>
      <c r="K312" s="11"/>
      <c r="L312" s="11"/>
      <c r="M312" s="27"/>
    </row>
    <row r="313" spans="2:13">
      <c r="B313" s="18">
        <v>5874</v>
      </c>
      <c r="C313" s="11" t="str">
        <f t="shared" si="24"/>
        <v>Huile de différentiel arrière</v>
      </c>
      <c r="D313" s="11" t="s">
        <v>3644</v>
      </c>
      <c r="E313" s="11"/>
      <c r="F313" s="11"/>
      <c r="G313" s="11"/>
      <c r="H313" s="11"/>
      <c r="I313" s="11"/>
      <c r="J313" s="11"/>
      <c r="K313" s="11"/>
      <c r="L313" s="11"/>
      <c r="M313" s="27"/>
    </row>
    <row r="314" spans="2:13">
      <c r="B314" s="18">
        <v>9996</v>
      </c>
      <c r="C314" s="11" t="str">
        <f t="shared" si="24"/>
        <v>Huile de différentiel avant/renvoi</v>
      </c>
      <c r="D314" s="11" t="s">
        <v>3645</v>
      </c>
      <c r="E314" s="11"/>
      <c r="F314" s="11"/>
      <c r="G314" s="11"/>
      <c r="H314" s="11"/>
      <c r="I314" s="11"/>
      <c r="J314" s="11"/>
      <c r="K314" s="11"/>
      <c r="L314" s="11"/>
      <c r="M314" s="27"/>
    </row>
    <row r="315" spans="2:13">
      <c r="B315" s="18">
        <v>12444</v>
      </c>
      <c r="C315" s="11" t="str">
        <f t="shared" si="24"/>
        <v>Huile embrayage piloté</v>
      </c>
      <c r="D315" s="11" t="s">
        <v>3646</v>
      </c>
      <c r="E315" s="11"/>
      <c r="F315" s="11"/>
      <c r="G315" s="11"/>
      <c r="H315" s="11"/>
      <c r="I315" s="11"/>
      <c r="J315" s="11"/>
      <c r="K315" s="11"/>
      <c r="L315" s="11"/>
      <c r="M315" s="27"/>
    </row>
    <row r="316" spans="2:13">
      <c r="B316" s="18">
        <v>-1</v>
      </c>
      <c r="C316" s="11" t="str">
        <f t="shared" si="24"/>
        <v>MOTEUR ELEC</v>
      </c>
      <c r="D316" s="11" t="s">
        <v>2003</v>
      </c>
      <c r="E316" s="11"/>
      <c r="F316" s="11"/>
      <c r="G316" s="11"/>
      <c r="H316" s="11"/>
      <c r="I316" s="11"/>
      <c r="J316" s="11"/>
      <c r="K316" s="11"/>
      <c r="L316" s="11"/>
      <c r="M316" s="27"/>
    </row>
    <row r="317" spans="2:13">
      <c r="B317" s="18">
        <v>12955</v>
      </c>
      <c r="C317" s="11" t="str">
        <f t="shared" si="24"/>
        <v>Ensemble moteur/boite/train</v>
      </c>
      <c r="D317" s="11" t="s">
        <v>3647</v>
      </c>
      <c r="E317" s="11"/>
      <c r="F317" s="11"/>
      <c r="G317" s="11"/>
      <c r="H317" s="11"/>
      <c r="I317" s="11"/>
      <c r="J317" s="11"/>
      <c r="K317" s="11"/>
      <c r="L317" s="11"/>
      <c r="M317" s="27"/>
    </row>
    <row r="318" spans="2:13">
      <c r="B318" s="18">
        <v>15391</v>
      </c>
      <c r="C318" s="11" t="str">
        <f t="shared" si="24"/>
        <v>Ensemble moteur/boite/train avant/face avant</v>
      </c>
      <c r="D318" s="11" t="s">
        <v>3648</v>
      </c>
      <c r="E318" s="11"/>
      <c r="F318" s="11"/>
      <c r="G318" s="11"/>
      <c r="H318" s="11"/>
      <c r="I318" s="11"/>
      <c r="J318" s="11"/>
      <c r="K318" s="11"/>
      <c r="L318" s="11"/>
      <c r="M318" s="27"/>
    </row>
    <row r="319" spans="2:13">
      <c r="B319" s="18">
        <v>30058</v>
      </c>
      <c r="C319" s="11" t="str">
        <f t="shared" si="24"/>
        <v>Huile moteur electrique avant</v>
      </c>
      <c r="D319" s="11" t="s">
        <v>3649</v>
      </c>
      <c r="E319" s="11"/>
      <c r="F319" s="11"/>
      <c r="G319" s="11"/>
      <c r="H319" s="11"/>
      <c r="I319" s="11"/>
      <c r="J319" s="11"/>
      <c r="K319" s="11"/>
      <c r="L319" s="11"/>
      <c r="M319" s="27"/>
    </row>
    <row r="320" spans="2:13">
      <c r="B320" s="501">
        <v>-1</v>
      </c>
      <c r="C320" s="8" t="s">
        <v>1823</v>
      </c>
      <c r="D320" s="8"/>
      <c r="E320" s="8"/>
      <c r="F320" s="8"/>
      <c r="G320" s="8"/>
      <c r="H320" s="8"/>
      <c r="I320" s="8"/>
      <c r="J320" s="8"/>
      <c r="K320" s="8"/>
      <c r="L320" s="8"/>
      <c r="M320" s="29"/>
    </row>
    <row r="321" spans="2:13">
      <c r="B321" s="18">
        <v>-1</v>
      </c>
      <c r="C321" s="11" t="str">
        <f t="shared" ref="C321:C328" si="25">D321</f>
        <v>EQUIPEMENT COFFRE</v>
      </c>
      <c r="D321" s="11" t="s">
        <v>685</v>
      </c>
      <c r="E321" s="11"/>
      <c r="F321" s="11"/>
      <c r="G321" s="11"/>
      <c r="H321" s="11"/>
      <c r="I321" s="11"/>
      <c r="J321" s="11"/>
      <c r="K321" s="11"/>
      <c r="L321" s="11"/>
      <c r="M321" s="27"/>
    </row>
    <row r="322" spans="2:13">
      <c r="B322" s="18">
        <v>-1</v>
      </c>
      <c r="C322" s="11" t="str">
        <f t="shared" si="25"/>
        <v>EQUIPEMENT HAYON</v>
      </c>
      <c r="D322" s="11" t="s">
        <v>688</v>
      </c>
      <c r="E322" s="11"/>
      <c r="F322" s="11"/>
      <c r="G322" s="11"/>
      <c r="H322" s="11"/>
      <c r="I322" s="11"/>
      <c r="J322" s="11"/>
      <c r="K322" s="11"/>
      <c r="L322" s="11"/>
      <c r="M322" s="27"/>
    </row>
    <row r="323" spans="2:13">
      <c r="B323" s="18">
        <v>-1</v>
      </c>
      <c r="C323" s="11" t="str">
        <f t="shared" si="25"/>
        <v>EQUIPEMENT PORTE COFFRE</v>
      </c>
      <c r="D323" s="11" t="s">
        <v>689</v>
      </c>
      <c r="E323" s="11"/>
      <c r="F323" s="11"/>
      <c r="G323" s="11"/>
      <c r="H323" s="11"/>
      <c r="I323" s="11"/>
      <c r="J323" s="11"/>
      <c r="K323" s="11"/>
      <c r="L323" s="11"/>
      <c r="M323" s="27"/>
    </row>
    <row r="324" spans="2:13">
      <c r="B324" s="18">
        <v>-1</v>
      </c>
      <c r="C324" s="11" t="str">
        <f t="shared" si="25"/>
        <v>TOLERIE COFFRE</v>
      </c>
      <c r="D324" s="11" t="s">
        <v>690</v>
      </c>
      <c r="E324" s="11"/>
      <c r="F324" s="11"/>
      <c r="G324" s="11"/>
      <c r="H324" s="11"/>
      <c r="I324" s="11"/>
      <c r="J324" s="11"/>
      <c r="K324" s="11"/>
      <c r="L324" s="11"/>
      <c r="M324" s="27"/>
    </row>
    <row r="325" spans="2:13">
      <c r="B325" s="18">
        <v>-1</v>
      </c>
      <c r="C325" s="11" t="str">
        <f t="shared" si="25"/>
        <v>TOLERIE HAYON</v>
      </c>
      <c r="D325" s="11" t="s">
        <v>691</v>
      </c>
      <c r="E325" s="11"/>
      <c r="F325" s="11"/>
      <c r="G325" s="11"/>
      <c r="H325" s="11"/>
      <c r="I325" s="11"/>
      <c r="J325" s="11"/>
      <c r="K325" s="11"/>
      <c r="L325" s="11"/>
      <c r="M325" s="27"/>
    </row>
    <row r="326" spans="2:13">
      <c r="B326" s="18">
        <v>-1</v>
      </c>
      <c r="C326" s="11" t="str">
        <f t="shared" si="25"/>
        <v>TOLERIE PORTE COFFRE</v>
      </c>
      <c r="D326" s="11" t="s">
        <v>692</v>
      </c>
      <c r="E326" s="11"/>
      <c r="F326" s="11"/>
      <c r="G326" s="11"/>
      <c r="H326" s="11"/>
      <c r="I326" s="11"/>
      <c r="J326" s="11"/>
      <c r="K326" s="11"/>
      <c r="L326" s="11"/>
      <c r="M326" s="27"/>
    </row>
    <row r="327" spans="2:13">
      <c r="B327" s="18">
        <v>-1</v>
      </c>
      <c r="C327" s="11" t="str">
        <f t="shared" si="25"/>
        <v>VITRAGE HAYON</v>
      </c>
      <c r="D327" s="11" t="s">
        <v>693</v>
      </c>
      <c r="E327" s="11"/>
      <c r="F327" s="11"/>
      <c r="G327" s="11"/>
      <c r="H327" s="11"/>
      <c r="I327" s="11"/>
      <c r="J327" s="11"/>
      <c r="K327" s="11"/>
      <c r="L327" s="11"/>
      <c r="M327" s="27"/>
    </row>
    <row r="328" spans="2:13">
      <c r="B328" s="18">
        <v>-1</v>
      </c>
      <c r="C328" s="11" t="str">
        <f t="shared" si="25"/>
        <v>VITRAGE PORTE COFFRE</v>
      </c>
      <c r="D328" s="11" t="s">
        <v>694</v>
      </c>
      <c r="E328" s="11"/>
      <c r="F328" s="11"/>
      <c r="G328" s="11"/>
      <c r="H328" s="11"/>
      <c r="I328" s="11"/>
      <c r="J328" s="11"/>
      <c r="K328" s="11"/>
      <c r="L328" s="11"/>
      <c r="M328" s="27"/>
    </row>
    <row r="329" spans="2:13">
      <c r="B329" s="501">
        <v>-1</v>
      </c>
      <c r="C329" s="8" t="s">
        <v>695</v>
      </c>
      <c r="D329" s="8"/>
      <c r="E329" s="8"/>
      <c r="F329" s="8"/>
      <c r="G329" s="8"/>
      <c r="H329" s="8"/>
      <c r="I329" s="8"/>
      <c r="J329" s="8"/>
      <c r="K329" s="8"/>
      <c r="L329" s="8"/>
      <c r="M329" s="29"/>
    </row>
    <row r="330" spans="2:13">
      <c r="B330" s="18">
        <v>-1</v>
      </c>
      <c r="C330" s="11" t="str">
        <f t="shared" ref="C330:C336" si="26">D330</f>
        <v>INSONO BLOC AV</v>
      </c>
      <c r="D330" s="11" t="s">
        <v>2512</v>
      </c>
      <c r="E330" s="11"/>
      <c r="F330" s="11"/>
      <c r="G330" s="11"/>
      <c r="H330" s="11"/>
      <c r="I330" s="11"/>
      <c r="J330" s="11"/>
      <c r="K330" s="11"/>
      <c r="L330" s="11"/>
      <c r="M330" s="27"/>
    </row>
    <row r="331" spans="2:13">
      <c r="B331" s="18">
        <v>-1</v>
      </c>
      <c r="C331" s="11" t="str">
        <f t="shared" si="26"/>
        <v>INSONO CC</v>
      </c>
      <c r="D331" s="11" t="s">
        <v>3650</v>
      </c>
      <c r="E331" s="11"/>
      <c r="F331" s="11"/>
      <c r="G331" s="11"/>
      <c r="H331" s="11"/>
      <c r="I331" s="11"/>
      <c r="J331" s="11"/>
      <c r="K331" s="11"/>
      <c r="L331" s="11"/>
      <c r="M331" s="27"/>
    </row>
    <row r="332" spans="2:13">
      <c r="B332" s="18">
        <v>-1</v>
      </c>
      <c r="C332" s="11" t="str">
        <f t="shared" si="26"/>
        <v>INSONO CONSOLE</v>
      </c>
      <c r="D332" s="11" t="s">
        <v>3651</v>
      </c>
      <c r="E332" s="11"/>
      <c r="F332" s="11"/>
      <c r="G332" s="11"/>
      <c r="H332" s="11"/>
      <c r="I332" s="11"/>
      <c r="J332" s="11"/>
      <c r="K332" s="11"/>
      <c r="L332" s="11"/>
      <c r="M332" s="27"/>
    </row>
    <row r="333" spans="2:13">
      <c r="B333" s="18">
        <v>-1</v>
      </c>
      <c r="C333" s="11" t="str">
        <f t="shared" si="26"/>
        <v>INSONO PAVILLON</v>
      </c>
      <c r="D333" s="11" t="s">
        <v>3652</v>
      </c>
      <c r="E333" s="11"/>
      <c r="F333" s="11"/>
      <c r="G333" s="11"/>
      <c r="H333" s="11"/>
      <c r="I333" s="11"/>
      <c r="J333" s="11"/>
      <c r="K333" s="11"/>
      <c r="L333" s="11"/>
      <c r="M333" s="27"/>
    </row>
    <row r="334" spans="2:13">
      <c r="B334" s="18">
        <v>-1</v>
      </c>
      <c r="C334" s="11" t="str">
        <f t="shared" si="26"/>
        <v>INSONO PDB</v>
      </c>
      <c r="D334" s="11" t="s">
        <v>2526</v>
      </c>
      <c r="E334" s="11"/>
      <c r="F334" s="11"/>
      <c r="G334" s="11"/>
      <c r="H334" s="11"/>
      <c r="I334" s="11"/>
      <c r="J334" s="11"/>
      <c r="K334" s="11"/>
      <c r="L334" s="11"/>
      <c r="M334" s="27"/>
    </row>
    <row r="335" spans="2:13">
      <c r="B335" s="18">
        <v>-1</v>
      </c>
      <c r="C335" s="11" t="str">
        <f t="shared" si="26"/>
        <v>INSONO PLANCHER</v>
      </c>
      <c r="D335" s="11" t="s">
        <v>3653</v>
      </c>
      <c r="E335" s="11"/>
      <c r="F335" s="11"/>
      <c r="G335" s="11"/>
      <c r="H335" s="11"/>
      <c r="I335" s="11"/>
      <c r="J335" s="11"/>
      <c r="K335" s="11"/>
      <c r="L335" s="11"/>
      <c r="M335" s="27"/>
    </row>
    <row r="336" spans="2:13">
      <c r="B336" s="18">
        <v>-1</v>
      </c>
      <c r="C336" s="11" t="str">
        <f t="shared" si="26"/>
        <v>INSONO ZONE COFFRE</v>
      </c>
      <c r="D336" s="11" t="s">
        <v>3654</v>
      </c>
      <c r="E336" s="11"/>
      <c r="F336" s="11"/>
      <c r="G336" s="11"/>
      <c r="H336" s="11"/>
      <c r="I336" s="11"/>
      <c r="J336" s="11"/>
      <c r="K336" s="11"/>
      <c r="L336" s="11"/>
      <c r="M336" s="27"/>
    </row>
    <row r="337" spans="2:13">
      <c r="B337" s="501">
        <v>-1</v>
      </c>
      <c r="C337" s="8" t="s">
        <v>699</v>
      </c>
      <c r="D337" s="8"/>
      <c r="E337" s="8"/>
      <c r="F337" s="8"/>
      <c r="G337" s="8"/>
      <c r="H337" s="8"/>
      <c r="I337" s="8"/>
      <c r="J337" s="8"/>
      <c r="K337" s="8"/>
      <c r="L337" s="8"/>
      <c r="M337" s="29"/>
    </row>
    <row r="338" spans="2:13">
      <c r="B338" s="18">
        <v>12136</v>
      </c>
      <c r="C338" s="11" t="str">
        <f t="shared" ref="C338:C343" si="27">D338</f>
        <v>DIRECTION AR</v>
      </c>
      <c r="D338" s="11" t="s">
        <v>3655</v>
      </c>
      <c r="E338" s="11"/>
      <c r="F338" s="11"/>
      <c r="G338" s="11"/>
      <c r="H338" s="11"/>
      <c r="I338" s="11"/>
      <c r="J338" s="11"/>
      <c r="K338" s="11"/>
      <c r="L338" s="11"/>
      <c r="M338" s="27"/>
    </row>
    <row r="339" spans="2:13">
      <c r="B339" s="18">
        <v>-1</v>
      </c>
      <c r="C339" s="11" t="str">
        <f t="shared" si="27"/>
        <v>EQUIPEMENT LAS</v>
      </c>
      <c r="D339" s="11" t="s">
        <v>1568</v>
      </c>
      <c r="E339" s="11"/>
      <c r="F339" s="11"/>
      <c r="G339" s="11"/>
      <c r="H339" s="11"/>
      <c r="I339" s="11"/>
      <c r="J339" s="11"/>
      <c r="K339" s="11"/>
      <c r="L339" s="11"/>
      <c r="M339" s="27"/>
    </row>
    <row r="340" spans="2:13">
      <c r="B340" s="18">
        <v>-1</v>
      </c>
      <c r="C340" s="11" t="str">
        <f t="shared" si="27"/>
        <v>RDS</v>
      </c>
      <c r="D340" s="11" t="s">
        <v>2367</v>
      </c>
      <c r="E340" s="11"/>
      <c r="F340" s="11"/>
      <c r="G340" s="11"/>
      <c r="H340" s="11"/>
      <c r="I340" s="11"/>
      <c r="J340" s="11"/>
      <c r="K340" s="11"/>
      <c r="L340" s="11"/>
      <c r="M340" s="27"/>
    </row>
    <row r="341" spans="2:13">
      <c r="B341" s="18">
        <v>-1</v>
      </c>
      <c r="C341" s="11" t="str">
        <f t="shared" si="27"/>
        <v>ROUES</v>
      </c>
      <c r="D341" s="11" t="s">
        <v>706</v>
      </c>
      <c r="E341" s="11"/>
      <c r="F341" s="11"/>
      <c r="G341" s="11"/>
      <c r="H341" s="11"/>
      <c r="I341" s="11"/>
      <c r="J341" s="11"/>
      <c r="K341" s="11"/>
      <c r="L341" s="11"/>
      <c r="M341" s="27"/>
    </row>
    <row r="342" spans="2:13">
      <c r="B342" s="18">
        <v>-1</v>
      </c>
      <c r="C342" s="11" t="str">
        <f t="shared" si="27"/>
        <v>TRAIN AR</v>
      </c>
      <c r="D342" s="11" t="s">
        <v>710</v>
      </c>
      <c r="E342" s="11"/>
      <c r="F342" s="11"/>
      <c r="G342" s="11"/>
      <c r="H342" s="11"/>
      <c r="I342" s="11"/>
      <c r="J342" s="11"/>
      <c r="K342" s="11"/>
      <c r="L342" s="11"/>
      <c r="M342" s="27"/>
    </row>
    <row r="343" spans="2:13">
      <c r="B343" s="18">
        <v>-1</v>
      </c>
      <c r="C343" s="11" t="str">
        <f t="shared" si="27"/>
        <v>TRAIN AV</v>
      </c>
      <c r="D343" s="11" t="s">
        <v>732</v>
      </c>
      <c r="E343" s="11"/>
      <c r="F343" s="11"/>
      <c r="G343" s="11"/>
      <c r="H343" s="11"/>
      <c r="I343" s="11"/>
      <c r="J343" s="11"/>
      <c r="K343" s="11"/>
      <c r="L343" s="11"/>
      <c r="M343" s="27"/>
    </row>
    <row r="344" spans="2:13">
      <c r="B344" s="501">
        <v>-1</v>
      </c>
      <c r="C344" s="8" t="s">
        <v>748</v>
      </c>
      <c r="D344" s="8"/>
      <c r="E344" s="8"/>
      <c r="F344" s="8"/>
      <c r="G344" s="8"/>
      <c r="H344" s="8"/>
      <c r="I344" s="8"/>
      <c r="J344" s="8"/>
      <c r="K344" s="8"/>
      <c r="L344" s="8"/>
      <c r="M344" s="29"/>
    </row>
    <row r="345" spans="2:13">
      <c r="B345" s="18">
        <v>2117</v>
      </c>
      <c r="C345" s="11" t="str">
        <f t="shared" ref="C345:C347" si="28">D345</f>
        <v>AIRBAGS</v>
      </c>
      <c r="D345" s="11" t="s">
        <v>750</v>
      </c>
      <c r="E345" s="11"/>
      <c r="F345" s="11"/>
      <c r="G345" s="11"/>
      <c r="H345" s="11"/>
      <c r="I345" s="11"/>
      <c r="J345" s="11"/>
      <c r="K345" s="11"/>
      <c r="L345" s="11"/>
      <c r="M345" s="27"/>
    </row>
    <row r="346" spans="2:13">
      <c r="B346" s="18">
        <v>2120</v>
      </c>
      <c r="C346" s="11" t="str">
        <f t="shared" si="28"/>
        <v>CEINTURES SECURITE</v>
      </c>
      <c r="D346" s="11" t="s">
        <v>1404</v>
      </c>
      <c r="E346" s="11"/>
      <c r="F346" s="11"/>
      <c r="G346" s="11"/>
      <c r="H346" s="11"/>
      <c r="I346" s="11"/>
      <c r="J346" s="11"/>
      <c r="K346" s="11"/>
      <c r="L346" s="11"/>
      <c r="M346" s="27"/>
    </row>
    <row r="347" spans="2:13">
      <c r="B347" s="18">
        <v>16688</v>
      </c>
      <c r="C347" s="11" t="str">
        <f t="shared" si="28"/>
        <v>CAPOT ACTIF</v>
      </c>
      <c r="D347" s="11" t="s">
        <v>755</v>
      </c>
      <c r="E347" s="11"/>
      <c r="F347" s="11"/>
      <c r="G347" s="11"/>
      <c r="H347" s="11"/>
      <c r="I347" s="11"/>
      <c r="J347" s="11"/>
      <c r="K347" s="11"/>
      <c r="L347" s="11"/>
      <c r="M347" s="27"/>
    </row>
    <row r="348" spans="2:13">
      <c r="B348" s="501">
        <v>-1</v>
      </c>
      <c r="C348" s="8" t="s">
        <v>756</v>
      </c>
      <c r="D348" s="8"/>
      <c r="E348" s="8"/>
      <c r="F348" s="8"/>
      <c r="G348" s="8"/>
      <c r="H348" s="8"/>
      <c r="I348" s="8"/>
      <c r="J348" s="8"/>
      <c r="K348" s="8"/>
      <c r="L348" s="8"/>
      <c r="M348" s="29"/>
    </row>
    <row r="349" spans="2:13">
      <c r="B349" s="18">
        <v>16438</v>
      </c>
      <c r="C349" s="11" t="str">
        <f t="shared" ref="C349:C355" si="29">D349</f>
        <v>Support enjoliveur latéraux</v>
      </c>
      <c r="D349" s="11" t="s">
        <v>3656</v>
      </c>
      <c r="E349" s="11"/>
      <c r="F349" s="11"/>
      <c r="G349" s="11"/>
      <c r="H349" s="11"/>
      <c r="I349" s="11"/>
      <c r="J349" s="11"/>
      <c r="K349" s="11"/>
      <c r="L349" s="11"/>
      <c r="M349" s="27"/>
    </row>
    <row r="350" spans="2:13">
      <c r="B350" s="18">
        <v>1358</v>
      </c>
      <c r="C350" s="11" t="str">
        <f t="shared" si="29"/>
        <v>Enjoliveur latéraux</v>
      </c>
      <c r="D350" s="11" t="s">
        <v>2776</v>
      </c>
      <c r="E350" s="11"/>
      <c r="F350" s="11"/>
      <c r="G350" s="11"/>
      <c r="H350" s="11"/>
      <c r="I350" s="11"/>
      <c r="J350" s="11"/>
      <c r="K350" s="11"/>
      <c r="L350" s="11"/>
      <c r="M350" s="27"/>
    </row>
    <row r="351" spans="2:13">
      <c r="B351" s="18">
        <v>877</v>
      </c>
      <c r="C351" s="11" t="str">
        <f t="shared" si="29"/>
        <v>Guide de pare-brise</v>
      </c>
      <c r="D351" s="11" t="s">
        <v>3657</v>
      </c>
      <c r="E351" s="11"/>
      <c r="F351" s="11"/>
      <c r="G351" s="11"/>
      <c r="H351" s="11"/>
      <c r="I351" s="11"/>
      <c r="J351" s="11"/>
      <c r="K351" s="11"/>
      <c r="L351" s="11"/>
      <c r="M351" s="27"/>
    </row>
    <row r="352" spans="2:13">
      <c r="B352" s="18">
        <v>12548</v>
      </c>
      <c r="C352" s="11" t="str">
        <f t="shared" si="29"/>
        <v>Joint</v>
      </c>
      <c r="D352" s="11" t="s">
        <v>2821</v>
      </c>
      <c r="E352" s="11"/>
      <c r="F352" s="11"/>
      <c r="G352" s="11"/>
      <c r="H352" s="11"/>
      <c r="I352" s="11"/>
      <c r="J352" s="11"/>
      <c r="K352" s="11"/>
      <c r="L352" s="11"/>
      <c r="M352" s="27"/>
    </row>
    <row r="353" spans="2:13">
      <c r="B353" s="18">
        <v>13</v>
      </c>
      <c r="C353" s="11" t="str">
        <f t="shared" si="29"/>
        <v>Pare brise unit</v>
      </c>
      <c r="D353" s="11" t="s">
        <v>3658</v>
      </c>
      <c r="E353" s="11"/>
      <c r="F353" s="11"/>
      <c r="G353" s="11"/>
      <c r="H353" s="11"/>
      <c r="I353" s="11"/>
      <c r="J353" s="11"/>
      <c r="K353" s="11"/>
      <c r="L353" s="11"/>
      <c r="M353" s="27"/>
    </row>
    <row r="354" spans="2:13">
      <c r="B354" s="18">
        <v>17968</v>
      </c>
      <c r="C354" s="11" t="str">
        <f t="shared" si="29"/>
        <v>Enjoliveur supérieur</v>
      </c>
      <c r="D354" s="11" t="s">
        <v>3659</v>
      </c>
      <c r="E354" s="11"/>
      <c r="F354" s="11"/>
      <c r="G354" s="11"/>
      <c r="H354" s="11"/>
      <c r="I354" s="11"/>
      <c r="J354" s="11"/>
      <c r="K354" s="11"/>
      <c r="L354" s="11"/>
      <c r="M354" s="27"/>
    </row>
    <row r="355" spans="2:13">
      <c r="B355" s="18">
        <v>18131</v>
      </c>
      <c r="C355" s="11" t="str">
        <f t="shared" si="29"/>
        <v>Systeme de pare brise basculant</v>
      </c>
      <c r="D355" s="11" t="s">
        <v>3660</v>
      </c>
      <c r="E355" s="11"/>
      <c r="F355" s="11"/>
      <c r="G355" s="11"/>
      <c r="H355" s="11"/>
      <c r="I355" s="11"/>
      <c r="J355" s="11"/>
      <c r="K355" s="11"/>
      <c r="L355" s="11"/>
      <c r="M355" s="27"/>
    </row>
    <row r="356" spans="2:13">
      <c r="B356" s="501">
        <v>-1</v>
      </c>
      <c r="C356" s="8" t="s">
        <v>760</v>
      </c>
      <c r="D356" s="8"/>
      <c r="E356" s="8"/>
      <c r="F356" s="8"/>
      <c r="G356" s="8"/>
      <c r="H356" s="8"/>
      <c r="I356" s="8"/>
      <c r="J356" s="8"/>
      <c r="K356" s="8"/>
      <c r="L356" s="8"/>
      <c r="M356" s="29"/>
    </row>
    <row r="357" spans="2:13">
      <c r="B357" s="18">
        <v>-1</v>
      </c>
      <c r="C357" s="11" t="str">
        <f t="shared" ref="C357:C359" si="30">D357</f>
        <v>CORPS PDB</v>
      </c>
      <c r="D357" s="11" t="s">
        <v>762</v>
      </c>
      <c r="E357" s="11"/>
      <c r="F357" s="11"/>
      <c r="G357" s="11"/>
      <c r="H357" s="11"/>
      <c r="I357" s="11"/>
      <c r="J357" s="11"/>
      <c r="K357" s="11"/>
      <c r="L357" s="11"/>
      <c r="M357" s="27"/>
    </row>
    <row r="358" spans="2:13">
      <c r="B358" s="18">
        <v>-1</v>
      </c>
      <c r="C358" s="11" t="str">
        <f t="shared" si="30"/>
        <v>EE PDB</v>
      </c>
      <c r="D358" s="11" t="s">
        <v>763</v>
      </c>
      <c r="E358" s="11"/>
      <c r="F358" s="11"/>
      <c r="G358" s="11"/>
      <c r="H358" s="11"/>
      <c r="I358" s="11"/>
      <c r="J358" s="11"/>
      <c r="K358" s="11"/>
      <c r="L358" s="11"/>
      <c r="M358" s="27"/>
    </row>
    <row r="359" spans="2:13">
      <c r="B359" s="18">
        <v>-1</v>
      </c>
      <c r="C359" s="11" t="str">
        <f t="shared" si="30"/>
        <v>TRAVERSE PDB</v>
      </c>
      <c r="D359" s="11" t="s">
        <v>767</v>
      </c>
      <c r="E359" s="11"/>
      <c r="F359" s="11"/>
      <c r="G359" s="11"/>
      <c r="H359" s="11"/>
      <c r="I359" s="11"/>
      <c r="J359" s="11"/>
      <c r="K359" s="11"/>
      <c r="L359" s="11"/>
      <c r="M359" s="27"/>
    </row>
    <row r="360" spans="2:13">
      <c r="B360" s="501">
        <v>-1</v>
      </c>
      <c r="C360" s="8" t="s">
        <v>770</v>
      </c>
      <c r="D360" s="8"/>
      <c r="E360" s="8"/>
      <c r="F360" s="8"/>
      <c r="G360" s="8"/>
      <c r="H360" s="8"/>
      <c r="I360" s="8"/>
      <c r="J360" s="8"/>
      <c r="K360" s="8"/>
      <c r="L360" s="8"/>
      <c r="M360" s="29"/>
    </row>
    <row r="361" spans="2:13">
      <c r="B361" s="18">
        <v>-1</v>
      </c>
      <c r="C361" s="11" t="str">
        <f t="shared" ref="C361:C364" si="31">D361</f>
        <v>EQUIPEMENT PORTE AR G</v>
      </c>
      <c r="D361" s="11" t="s">
        <v>3661</v>
      </c>
      <c r="E361" s="11"/>
      <c r="F361" s="11"/>
      <c r="G361" s="11"/>
      <c r="H361" s="11"/>
      <c r="I361" s="11"/>
      <c r="J361" s="11"/>
      <c r="K361" s="11"/>
      <c r="L361" s="11"/>
      <c r="M361" s="27"/>
    </row>
    <row r="362" spans="2:13">
      <c r="B362" s="18">
        <v>-1</v>
      </c>
      <c r="C362" s="11" t="str">
        <f t="shared" si="31"/>
        <v>TOLERIE PORTE AR G</v>
      </c>
      <c r="D362" s="11" t="s">
        <v>3662</v>
      </c>
      <c r="E362" s="11"/>
      <c r="F362" s="11"/>
      <c r="G362" s="11"/>
      <c r="H362" s="11"/>
      <c r="I362" s="11"/>
      <c r="J362" s="11"/>
      <c r="K362" s="11"/>
      <c r="L362" s="11"/>
      <c r="M362" s="27"/>
    </row>
    <row r="363" spans="2:13">
      <c r="B363" s="18">
        <v>-1</v>
      </c>
      <c r="C363" s="11" t="str">
        <f t="shared" si="31"/>
        <v>VITRAGE PORTE AR G</v>
      </c>
      <c r="D363" s="11" t="s">
        <v>3663</v>
      </c>
      <c r="E363" s="11"/>
      <c r="F363" s="11"/>
      <c r="G363" s="11"/>
      <c r="H363" s="11"/>
      <c r="I363" s="11"/>
      <c r="J363" s="11"/>
      <c r="K363" s="11"/>
      <c r="L363" s="11"/>
      <c r="M363" s="27"/>
    </row>
    <row r="364" spans="2:13">
      <c r="B364" s="18">
        <v>-1</v>
      </c>
      <c r="C364" s="11" t="str">
        <f t="shared" si="31"/>
        <v>PORTE AR D COMPLETE</v>
      </c>
      <c r="D364" s="11" t="s">
        <v>3664</v>
      </c>
      <c r="E364" s="11"/>
      <c r="F364" s="11"/>
      <c r="G364" s="11"/>
      <c r="H364" s="11"/>
      <c r="I364" s="11"/>
      <c r="J364" s="11"/>
      <c r="K364" s="11"/>
      <c r="L364" s="11"/>
      <c r="M364" s="27"/>
    </row>
    <row r="365" spans="2:13">
      <c r="B365" s="501">
        <v>-1</v>
      </c>
      <c r="C365" s="8" t="s">
        <v>783</v>
      </c>
      <c r="D365" s="8"/>
      <c r="E365" s="8"/>
      <c r="F365" s="8"/>
      <c r="G365" s="8"/>
      <c r="H365" s="8"/>
      <c r="I365" s="8"/>
      <c r="J365" s="8"/>
      <c r="K365" s="8"/>
      <c r="L365" s="8"/>
      <c r="M365" s="29"/>
    </row>
    <row r="366" spans="2:13">
      <c r="B366" s="18">
        <v>-1</v>
      </c>
      <c r="C366" s="11" t="str">
        <f t="shared" ref="C366:C369" si="32">D366</f>
        <v>EQUIPEMENT PORTE AV G</v>
      </c>
      <c r="D366" s="11" t="s">
        <v>3665</v>
      </c>
      <c r="E366" s="11"/>
      <c r="F366" s="11"/>
      <c r="G366" s="11"/>
      <c r="H366" s="11"/>
      <c r="I366" s="11"/>
      <c r="J366" s="11"/>
      <c r="K366" s="11"/>
      <c r="L366" s="11"/>
      <c r="M366" s="27"/>
    </row>
    <row r="367" spans="2:13">
      <c r="B367" s="18">
        <v>-1</v>
      </c>
      <c r="C367" s="11" t="str">
        <f t="shared" si="32"/>
        <v>TOLERIE PORTE AV G</v>
      </c>
      <c r="D367" s="11" t="s">
        <v>3666</v>
      </c>
      <c r="E367" s="11"/>
      <c r="F367" s="11"/>
      <c r="G367" s="11"/>
      <c r="H367" s="11"/>
      <c r="I367" s="11"/>
      <c r="J367" s="11"/>
      <c r="K367" s="11"/>
      <c r="L367" s="11"/>
      <c r="M367" s="27"/>
    </row>
    <row r="368" spans="2:13">
      <c r="B368" s="18">
        <v>-1</v>
      </c>
      <c r="C368" s="11" t="str">
        <f t="shared" si="32"/>
        <v>VITRAGE PORTE AV G</v>
      </c>
      <c r="D368" s="11" t="s">
        <v>3667</v>
      </c>
      <c r="E368" s="11"/>
      <c r="F368" s="11"/>
      <c r="G368" s="11"/>
      <c r="H368" s="11"/>
      <c r="I368" s="11"/>
      <c r="J368" s="11"/>
      <c r="K368" s="11"/>
      <c r="L368" s="11"/>
      <c r="M368" s="27"/>
    </row>
    <row r="369" spans="2:13">
      <c r="B369" s="18">
        <v>-1</v>
      </c>
      <c r="C369" s="11" t="str">
        <f t="shared" si="32"/>
        <v>PORTE AV D COMPLETE</v>
      </c>
      <c r="D369" s="11" t="s">
        <v>3668</v>
      </c>
      <c r="E369" s="11"/>
      <c r="F369" s="11"/>
      <c r="G369" s="11"/>
      <c r="H369" s="11"/>
      <c r="I369" s="11"/>
      <c r="J369" s="11"/>
      <c r="K369" s="11"/>
      <c r="L369" s="11"/>
      <c r="M369" s="27"/>
    </row>
    <row r="370" spans="2:13">
      <c r="B370" s="501">
        <v>-1</v>
      </c>
      <c r="C370" s="8" t="s">
        <v>799</v>
      </c>
      <c r="D370" s="8"/>
      <c r="E370" s="8"/>
      <c r="F370" s="8"/>
      <c r="G370" s="8"/>
      <c r="H370" s="8"/>
      <c r="I370" s="8"/>
      <c r="J370" s="8"/>
      <c r="K370" s="8"/>
      <c r="L370" s="8"/>
      <c r="M370" s="29"/>
    </row>
    <row r="371" spans="2:13">
      <c r="B371" s="18">
        <v>1241</v>
      </c>
      <c r="C371" s="11" t="str">
        <f t="shared" ref="C371:C372" si="33">D371</f>
        <v>Traverse arrière</v>
      </c>
      <c r="D371" s="11" t="s">
        <v>3669</v>
      </c>
      <c r="E371" s="11"/>
      <c r="F371" s="11"/>
      <c r="G371" s="11"/>
      <c r="H371" s="11"/>
      <c r="I371" s="11"/>
      <c r="J371" s="11"/>
      <c r="K371" s="11"/>
      <c r="L371" s="11"/>
      <c r="M371" s="27"/>
    </row>
    <row r="372" spans="2:13">
      <c r="B372" s="18">
        <v>17645</v>
      </c>
      <c r="C372" s="11" t="str">
        <f t="shared" si="33"/>
        <v>Seconde traverse arrière</v>
      </c>
      <c r="D372" s="11" t="s">
        <v>3670</v>
      </c>
      <c r="E372" s="11"/>
      <c r="F372" s="11"/>
      <c r="G372" s="11"/>
      <c r="H372" s="11"/>
      <c r="I372" s="11"/>
      <c r="J372" s="11"/>
      <c r="K372" s="11"/>
      <c r="L372" s="11"/>
      <c r="M372" s="27"/>
    </row>
    <row r="373" spans="2:13">
      <c r="B373" s="501">
        <v>-1</v>
      </c>
      <c r="C373" s="8" t="s">
        <v>795</v>
      </c>
      <c r="D373" s="8"/>
      <c r="E373" s="8"/>
      <c r="F373" s="8"/>
      <c r="G373" s="8"/>
      <c r="H373" s="8"/>
      <c r="I373" s="8"/>
      <c r="J373" s="8"/>
      <c r="K373" s="8"/>
      <c r="L373" s="8"/>
      <c r="M373" s="29"/>
    </row>
    <row r="374" spans="2:13">
      <c r="B374" s="18">
        <v>11005</v>
      </c>
      <c r="C374" s="11" t="str">
        <f>D374</f>
        <v>Systeme traverse supérieure</v>
      </c>
      <c r="D374" s="11" t="s">
        <v>3671</v>
      </c>
      <c r="E374" s="11"/>
      <c r="F374" s="11"/>
      <c r="G374" s="11"/>
      <c r="H374" s="11"/>
      <c r="I374" s="11"/>
      <c r="J374" s="11"/>
      <c r="K374" s="11"/>
      <c r="L374" s="11"/>
      <c r="M374" s="27"/>
    </row>
    <row r="375" spans="2:13">
      <c r="B375" s="501">
        <v>-1</v>
      </c>
      <c r="C375" s="8" t="s">
        <v>803</v>
      </c>
      <c r="D375" s="8"/>
      <c r="E375" s="8"/>
      <c r="F375" s="8"/>
      <c r="G375" s="8"/>
      <c r="H375" s="8"/>
      <c r="I375" s="8"/>
      <c r="J375" s="8"/>
      <c r="K375" s="8"/>
      <c r="L375" s="8"/>
      <c r="M375" s="29"/>
    </row>
    <row r="376" spans="2:13">
      <c r="B376" s="18">
        <v>-1</v>
      </c>
      <c r="C376" s="11" t="str">
        <f t="shared" ref="C376:C378" si="34">D376</f>
        <v>SURTAPIS</v>
      </c>
      <c r="D376" s="11" t="s">
        <v>3672</v>
      </c>
      <c r="E376" s="11"/>
      <c r="F376" s="11"/>
      <c r="G376" s="11"/>
      <c r="H376" s="11"/>
      <c r="I376" s="11"/>
      <c r="J376" s="11"/>
      <c r="K376" s="11"/>
      <c r="L376" s="11"/>
      <c r="M376" s="27"/>
    </row>
    <row r="377" spans="2:13">
      <c r="B377" s="18">
        <v>-1</v>
      </c>
      <c r="C377" s="11" t="str">
        <f t="shared" si="34"/>
        <v>TAPIS COFFRE</v>
      </c>
      <c r="D377" s="11" t="s">
        <v>2578</v>
      </c>
      <c r="E377" s="11"/>
      <c r="F377" s="11"/>
      <c r="G377" s="11"/>
      <c r="H377" s="11"/>
      <c r="I377" s="11"/>
      <c r="J377" s="11"/>
      <c r="K377" s="11"/>
      <c r="L377" s="11"/>
      <c r="M377" s="27"/>
    </row>
    <row r="378" spans="2:13">
      <c r="B378" s="18">
        <v>-1</v>
      </c>
      <c r="C378" s="11" t="str">
        <f t="shared" si="34"/>
        <v>TAPIS HABITACLE</v>
      </c>
      <c r="D378" s="11" t="s">
        <v>2522</v>
      </c>
      <c r="E378" s="11"/>
      <c r="F378" s="11"/>
      <c r="G378" s="11"/>
      <c r="H378" s="11"/>
      <c r="I378" s="11"/>
      <c r="J378" s="11"/>
      <c r="K378" s="11"/>
      <c r="L378" s="11"/>
      <c r="M378" s="27"/>
    </row>
    <row r="379" spans="2:13">
      <c r="B379" s="501">
        <v>-1</v>
      </c>
      <c r="C379" s="8" t="s">
        <v>813</v>
      </c>
      <c r="D379" s="8"/>
      <c r="E379" s="8"/>
      <c r="F379" s="8"/>
      <c r="G379" s="8"/>
      <c r="H379" s="8"/>
      <c r="I379" s="8"/>
      <c r="J379" s="8"/>
      <c r="K379" s="8"/>
      <c r="L379" s="8"/>
      <c r="M379" s="29"/>
    </row>
    <row r="380" spans="2:13">
      <c r="B380" s="18">
        <v>1769</v>
      </c>
      <c r="C380" s="11" t="str">
        <f t="shared" ref="C380:C382" si="35">D380</f>
        <v>Transmission arrière</v>
      </c>
      <c r="D380" s="11" t="s">
        <v>830</v>
      </c>
      <c r="E380" s="11"/>
      <c r="F380" s="11"/>
      <c r="G380" s="11"/>
      <c r="H380" s="11"/>
      <c r="I380" s="11"/>
      <c r="J380" s="11"/>
      <c r="K380" s="11"/>
      <c r="L380" s="11"/>
      <c r="M380" s="27"/>
    </row>
    <row r="381" spans="2:13">
      <c r="B381" s="18">
        <v>39</v>
      </c>
      <c r="C381" s="11" t="str">
        <f t="shared" si="35"/>
        <v>Transmission avant</v>
      </c>
      <c r="D381" s="11" t="s">
        <v>815</v>
      </c>
      <c r="E381" s="11"/>
      <c r="F381" s="11"/>
      <c r="G381" s="11"/>
      <c r="H381" s="11"/>
      <c r="I381" s="11"/>
      <c r="J381" s="11"/>
      <c r="K381" s="11"/>
      <c r="L381" s="11"/>
      <c r="M381" s="27"/>
    </row>
    <row r="382" spans="2:13">
      <c r="B382" s="18">
        <v>1791</v>
      </c>
      <c r="C382" s="11" t="str">
        <f t="shared" si="35"/>
        <v>Transmission intermédiaire</v>
      </c>
      <c r="D382" s="11" t="s">
        <v>2286</v>
      </c>
      <c r="E382" s="11"/>
      <c r="F382" s="11"/>
      <c r="G382" s="11"/>
      <c r="H382" s="11"/>
      <c r="I382" s="11"/>
      <c r="J382" s="11"/>
      <c r="K382" s="11"/>
      <c r="L382" s="11"/>
      <c r="M382" s="27"/>
    </row>
    <row r="383" spans="2:13">
      <c r="B383" s="501">
        <v>-1</v>
      </c>
      <c r="C383" s="8" t="s">
        <v>2762</v>
      </c>
      <c r="D383" s="8"/>
      <c r="E383" s="8"/>
      <c r="F383" s="8"/>
      <c r="G383" s="8"/>
      <c r="H383" s="8"/>
      <c r="I383" s="8"/>
      <c r="J383" s="8"/>
      <c r="K383" s="8"/>
      <c r="L383" s="8"/>
      <c r="M383" s="29"/>
    </row>
    <row r="384" spans="2:13">
      <c r="B384" s="18">
        <v>15442</v>
      </c>
      <c r="C384" s="11" t="str">
        <f t="shared" ref="C384:C386" si="36">D384</f>
        <v>Joint lunette arrière</v>
      </c>
      <c r="D384" s="11" t="s">
        <v>3673</v>
      </c>
      <c r="E384" s="11"/>
      <c r="F384" s="11"/>
      <c r="G384" s="11"/>
      <c r="H384" s="11"/>
      <c r="I384" s="11"/>
      <c r="J384" s="11"/>
      <c r="K384" s="11"/>
      <c r="L384" s="11"/>
      <c r="M384" s="27"/>
    </row>
    <row r="385" spans="2:13">
      <c r="B385" s="18">
        <v>2562</v>
      </c>
      <c r="C385" s="11" t="str">
        <f t="shared" si="36"/>
        <v>Lunette arrière</v>
      </c>
      <c r="D385" s="11" t="s">
        <v>2828</v>
      </c>
      <c r="E385" s="11"/>
      <c r="F385" s="11"/>
      <c r="G385" s="11"/>
      <c r="H385" s="11"/>
      <c r="I385" s="11"/>
      <c r="J385" s="11"/>
      <c r="K385" s="11"/>
      <c r="L385" s="11"/>
      <c r="M385" s="27"/>
    </row>
    <row r="386" spans="2:13">
      <c r="B386" s="18">
        <v>2430</v>
      </c>
      <c r="C386" s="11" t="str">
        <f t="shared" si="36"/>
        <v>Vitrage latéraux (Custodes)</v>
      </c>
      <c r="D386" s="11" t="s">
        <v>2763</v>
      </c>
      <c r="E386" s="11"/>
      <c r="F386" s="11"/>
      <c r="G386" s="11"/>
      <c r="H386" s="11"/>
      <c r="I386" s="11"/>
      <c r="J386" s="11"/>
      <c r="K386" s="11"/>
      <c r="L386" s="11"/>
      <c r="M386" s="27"/>
    </row>
    <row r="387" spans="2:13">
      <c r="B387" s="501">
        <v>-1</v>
      </c>
      <c r="C387" s="8" t="s">
        <v>840</v>
      </c>
      <c r="D387" s="8"/>
      <c r="E387" s="8"/>
      <c r="F387" s="8"/>
      <c r="G387" s="8"/>
      <c r="H387" s="8"/>
      <c r="I387" s="8"/>
      <c r="J387" s="8"/>
      <c r="K387" s="8"/>
      <c r="L387" s="8"/>
      <c r="M387" s="29"/>
    </row>
    <row r="388" spans="2:13">
      <c r="B388" s="18">
        <v>14738</v>
      </c>
      <c r="C388" s="11" t="str">
        <f>D388</f>
        <v>Système volant</v>
      </c>
      <c r="D388" s="11" t="s">
        <v>1879</v>
      </c>
      <c r="E388" s="11"/>
      <c r="F388" s="11"/>
      <c r="G388" s="11"/>
      <c r="H388" s="11"/>
      <c r="I388" s="11"/>
      <c r="J388" s="11"/>
      <c r="K388" s="11"/>
      <c r="L388" s="11"/>
      <c r="M388" s="27"/>
    </row>
    <row r="389" spans="2:13">
      <c r="B389" s="501">
        <v>-1</v>
      </c>
      <c r="C389" s="8" t="s">
        <v>3674</v>
      </c>
      <c r="D389" s="8"/>
      <c r="E389" s="8"/>
      <c r="F389" s="8"/>
      <c r="G389" s="8"/>
      <c r="H389" s="8"/>
      <c r="I389" s="8"/>
      <c r="J389" s="8"/>
      <c r="K389" s="8"/>
      <c r="L389" s="8"/>
      <c r="M389" s="29"/>
    </row>
    <row r="390" spans="2:13">
      <c r="B390" s="18">
        <v>7752</v>
      </c>
      <c r="C390" s="11" t="str">
        <f t="shared" ref="C390:C393" si="37">D390</f>
        <v>Système châssis</v>
      </c>
      <c r="D390" s="11" t="s">
        <v>3675</v>
      </c>
      <c r="E390" s="11"/>
      <c r="F390" s="11"/>
      <c r="G390" s="11"/>
      <c r="H390" s="11"/>
      <c r="I390" s="11"/>
      <c r="J390" s="11"/>
      <c r="K390" s="11"/>
      <c r="L390" s="11"/>
      <c r="M390" s="27"/>
    </row>
    <row r="391" spans="2:13">
      <c r="B391" s="18">
        <v>8943</v>
      </c>
      <c r="C391" s="11" t="str">
        <f t="shared" si="37"/>
        <v>Marchepieds</v>
      </c>
      <c r="D391" s="11" t="s">
        <v>3676</v>
      </c>
      <c r="E391" s="11"/>
      <c r="F391" s="11"/>
      <c r="G391" s="11"/>
      <c r="H391" s="11"/>
      <c r="I391" s="11"/>
      <c r="J391" s="11"/>
      <c r="K391" s="11"/>
      <c r="L391" s="11"/>
      <c r="M391" s="27"/>
    </row>
    <row r="392" spans="2:13">
      <c r="B392" s="18">
        <v>10043</v>
      </c>
      <c r="C392" s="11" t="str">
        <f t="shared" si="37"/>
        <v>Système pick up</v>
      </c>
      <c r="D392" s="11" t="s">
        <v>3677</v>
      </c>
      <c r="E392" s="11"/>
      <c r="F392" s="11"/>
      <c r="G392" s="11"/>
      <c r="H392" s="11"/>
      <c r="I392" s="11"/>
      <c r="J392" s="11"/>
      <c r="K392" s="11"/>
      <c r="L392" s="11"/>
      <c r="M392" s="27"/>
    </row>
    <row r="393" spans="2:13">
      <c r="B393" s="18">
        <v>4512</v>
      </c>
      <c r="C393" s="11" t="str">
        <f t="shared" si="37"/>
        <v>Volet inferieur</v>
      </c>
      <c r="D393" s="11" t="s">
        <v>3678</v>
      </c>
      <c r="E393" s="11"/>
      <c r="F393" s="11"/>
      <c r="G393" s="11"/>
      <c r="H393" s="11"/>
      <c r="I393" s="11"/>
      <c r="J393" s="11"/>
      <c r="K393" s="11"/>
      <c r="L393" s="11"/>
      <c r="M393" s="27"/>
    </row>
    <row r="394" spans="2:13">
      <c r="B394" s="501"/>
      <c r="C394" s="8" t="s">
        <v>1029</v>
      </c>
      <c r="D394" s="8"/>
      <c r="E394" s="8"/>
      <c r="F394" s="8"/>
      <c r="G394" s="8"/>
      <c r="H394" s="8"/>
      <c r="I394" s="8"/>
      <c r="J394" s="8"/>
      <c r="K394" s="8"/>
      <c r="L394" s="8"/>
      <c r="M394" s="29"/>
    </row>
  </sheetData>
  <conditionalFormatting sqref="C2:C393">
    <cfRule type="duplicateValues" dxfId="1" priority="2"/>
  </conditionalFormatting>
  <conditionalFormatting sqref="C394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AA96B-BF7D-4661-B120-7717B417A0B4}">
  <dimension ref="A2:F30"/>
  <sheetViews>
    <sheetView showGridLines="0" zoomScale="80" zoomScaleNormal="80" workbookViewId="0">
      <selection activeCell="H28" sqref="H28"/>
    </sheetView>
  </sheetViews>
  <sheetFormatPr defaultColWidth="11.42578125" defaultRowHeight="14.45"/>
  <cols>
    <col min="1" max="1" width="4.42578125" customWidth="1"/>
    <col min="2" max="2" width="75.7109375" style="119" customWidth="1"/>
    <col min="3" max="3" width="24.7109375" customWidth="1"/>
    <col min="4" max="4" width="86.7109375" style="119" customWidth="1"/>
    <col min="5" max="5" width="14.7109375" customWidth="1"/>
    <col min="6" max="6" width="77.7109375" customWidth="1"/>
  </cols>
  <sheetData>
    <row r="2" spans="1:6" ht="6" customHeight="1" thickBot="1"/>
    <row r="3" spans="1:6" ht="24" customHeight="1" thickBot="1">
      <c r="B3" s="601" t="s">
        <v>3679</v>
      </c>
      <c r="C3" s="602"/>
      <c r="D3" s="602"/>
      <c r="E3" s="602"/>
      <c r="F3" s="603"/>
    </row>
    <row r="4" spans="1:6" ht="22.15" customHeight="1" thickBot="1">
      <c r="B4" s="120" t="s">
        <v>3680</v>
      </c>
      <c r="C4" s="110" t="s">
        <v>3681</v>
      </c>
      <c r="D4" s="124" t="s">
        <v>3682</v>
      </c>
      <c r="E4" s="110" t="s">
        <v>3683</v>
      </c>
      <c r="F4" s="110" t="s">
        <v>3684</v>
      </c>
    </row>
    <row r="5" spans="1:6" ht="71.650000000000006" customHeight="1">
      <c r="A5">
        <v>1</v>
      </c>
      <c r="B5" s="121" t="s">
        <v>3685</v>
      </c>
      <c r="C5" s="111" t="s">
        <v>3686</v>
      </c>
      <c r="D5" s="125" t="s">
        <v>3687</v>
      </c>
      <c r="E5" s="215" t="s">
        <v>3688</v>
      </c>
      <c r="F5" s="604" t="s">
        <v>3689</v>
      </c>
    </row>
    <row r="6" spans="1:6" ht="18.399999999999999" customHeight="1">
      <c r="B6" s="121" t="s">
        <v>3690</v>
      </c>
      <c r="C6" s="111"/>
      <c r="D6" s="125" t="s">
        <v>3691</v>
      </c>
      <c r="E6" s="217"/>
      <c r="F6" s="605"/>
    </row>
    <row r="7" spans="1:6" ht="39" customHeight="1">
      <c r="B7" s="122" t="s">
        <v>3692</v>
      </c>
      <c r="C7" s="112"/>
      <c r="D7" s="126" t="s">
        <v>3693</v>
      </c>
      <c r="E7" s="217"/>
      <c r="F7" s="605"/>
    </row>
    <row r="8" spans="1:6" ht="39" customHeight="1">
      <c r="B8" s="122" t="s">
        <v>3694</v>
      </c>
      <c r="C8" s="112"/>
      <c r="D8" s="126" t="s">
        <v>3695</v>
      </c>
      <c r="E8" s="217"/>
      <c r="F8" s="605"/>
    </row>
    <row r="9" spans="1:6" ht="22.5" customHeight="1" thickBot="1">
      <c r="B9" s="123"/>
      <c r="C9" s="113"/>
      <c r="D9" s="127" t="s">
        <v>3696</v>
      </c>
      <c r="E9" s="218"/>
      <c r="F9" s="606"/>
    </row>
    <row r="10" spans="1:6" ht="34.9" customHeight="1">
      <c r="A10">
        <v>2</v>
      </c>
      <c r="B10" s="607" t="s">
        <v>3697</v>
      </c>
      <c r="C10" s="111" t="s">
        <v>3686</v>
      </c>
      <c r="D10" s="125" t="s">
        <v>3698</v>
      </c>
      <c r="E10" s="111" t="s">
        <v>3688</v>
      </c>
      <c r="F10" s="610" t="s">
        <v>3699</v>
      </c>
    </row>
    <row r="11" spans="1:6" ht="19.149999999999999" customHeight="1">
      <c r="B11" s="608"/>
      <c r="C11" s="111"/>
      <c r="D11" s="125" t="s">
        <v>3691</v>
      </c>
      <c r="E11" s="112"/>
      <c r="F11" s="611"/>
    </row>
    <row r="12" spans="1:6" ht="46.15" customHeight="1">
      <c r="B12" s="608"/>
      <c r="C12" s="112"/>
      <c r="D12" s="126" t="s">
        <v>3700</v>
      </c>
      <c r="E12" s="112"/>
      <c r="F12" s="611"/>
    </row>
    <row r="13" spans="1:6" ht="37.9" customHeight="1" thickBot="1">
      <c r="B13" s="609"/>
      <c r="C13" s="113"/>
      <c r="D13" s="127" t="s">
        <v>3701</v>
      </c>
      <c r="E13" s="113"/>
      <c r="F13" s="612"/>
    </row>
    <row r="14" spans="1:6" ht="39" customHeight="1">
      <c r="A14">
        <v>3</v>
      </c>
      <c r="B14" s="607" t="s">
        <v>3702</v>
      </c>
      <c r="C14" s="613"/>
      <c r="D14" s="125" t="s">
        <v>3703</v>
      </c>
      <c r="E14" s="111" t="s">
        <v>3704</v>
      </c>
      <c r="F14" s="616"/>
    </row>
    <row r="15" spans="1:6" ht="19.5" customHeight="1">
      <c r="B15" s="608"/>
      <c r="C15" s="614"/>
      <c r="D15" s="125" t="s">
        <v>3691</v>
      </c>
      <c r="E15" s="114">
        <v>44805</v>
      </c>
      <c r="F15" s="617"/>
    </row>
    <row r="16" spans="1:6" ht="39" customHeight="1">
      <c r="B16" s="608"/>
      <c r="C16" s="614"/>
      <c r="D16" s="126" t="s">
        <v>3705</v>
      </c>
      <c r="E16" s="112"/>
      <c r="F16" s="617"/>
    </row>
    <row r="17" spans="1:6" ht="39" customHeight="1" thickBot="1">
      <c r="B17" s="609"/>
      <c r="C17" s="615"/>
      <c r="D17" s="127" t="s">
        <v>3706</v>
      </c>
      <c r="E17" s="113"/>
      <c r="F17" s="618"/>
    </row>
    <row r="18" spans="1:6" ht="39" customHeight="1">
      <c r="A18">
        <v>4</v>
      </c>
      <c r="B18" s="121" t="s">
        <v>3707</v>
      </c>
      <c r="C18" s="613"/>
      <c r="D18" s="125" t="s">
        <v>3708</v>
      </c>
      <c r="E18" s="215" t="s">
        <v>3688</v>
      </c>
      <c r="F18" s="604" t="s">
        <v>3709</v>
      </c>
    </row>
    <row r="19" spans="1:6" ht="33" customHeight="1">
      <c r="B19" s="121" t="s">
        <v>3710</v>
      </c>
      <c r="C19" s="614"/>
      <c r="D19" s="214" t="s">
        <v>3711</v>
      </c>
      <c r="E19" s="216"/>
      <c r="F19" s="620"/>
    </row>
    <row r="20" spans="1:6" ht="19.5" customHeight="1">
      <c r="B20" s="117"/>
      <c r="C20" s="614"/>
      <c r="D20" s="126" t="s">
        <v>3712</v>
      </c>
      <c r="E20" s="217"/>
      <c r="F20" s="620"/>
    </row>
    <row r="21" spans="1:6" ht="35.65" customHeight="1" thickBot="1">
      <c r="B21" s="118"/>
      <c r="C21" s="615"/>
      <c r="D21" s="127" t="s">
        <v>3713</v>
      </c>
      <c r="E21" s="218"/>
      <c r="F21" s="621"/>
    </row>
    <row r="22" spans="1:6" ht="39" customHeight="1">
      <c r="A22">
        <v>5</v>
      </c>
      <c r="B22" s="607" t="s">
        <v>3714</v>
      </c>
      <c r="C22" s="613"/>
      <c r="D22" s="125" t="s">
        <v>3715</v>
      </c>
      <c r="E22" s="521" t="s">
        <v>3716</v>
      </c>
      <c r="F22" s="604" t="s">
        <v>3717</v>
      </c>
    </row>
    <row r="23" spans="1:6" ht="18.399999999999999" customHeight="1">
      <c r="B23" s="608"/>
      <c r="C23" s="614"/>
      <c r="D23" s="125" t="s">
        <v>3718</v>
      </c>
      <c r="E23" s="522"/>
      <c r="F23" s="620"/>
    </row>
    <row r="24" spans="1:6" ht="18.399999999999999" customHeight="1">
      <c r="B24" s="608"/>
      <c r="C24" s="614"/>
      <c r="D24" s="126" t="s">
        <v>3719</v>
      </c>
      <c r="E24" s="522"/>
      <c r="F24" s="620"/>
    </row>
    <row r="25" spans="1:6" ht="18.399999999999999" customHeight="1" thickBot="1">
      <c r="B25" s="609"/>
      <c r="C25" s="615"/>
      <c r="D25" s="127" t="s">
        <v>3720</v>
      </c>
      <c r="E25" s="523"/>
      <c r="F25" s="621"/>
    </row>
    <row r="26" spans="1:6" ht="39" customHeight="1">
      <c r="A26">
        <v>6</v>
      </c>
      <c r="B26" s="607" t="s">
        <v>3721</v>
      </c>
      <c r="C26" s="613"/>
      <c r="D26" s="622" t="s">
        <v>3722</v>
      </c>
      <c r="E26" s="215" t="s">
        <v>3716</v>
      </c>
      <c r="F26" s="604" t="s">
        <v>3723</v>
      </c>
    </row>
    <row r="27" spans="1:6" ht="16.5" customHeight="1" thickBot="1">
      <c r="B27" s="609"/>
      <c r="C27" s="615"/>
      <c r="D27" s="623"/>
      <c r="E27" s="218"/>
      <c r="F27" s="621"/>
    </row>
    <row r="28" spans="1:6" ht="22.5" customHeight="1">
      <c r="A28">
        <v>7</v>
      </c>
      <c r="B28" s="607" t="s">
        <v>3724</v>
      </c>
      <c r="C28" s="613"/>
      <c r="D28" s="125" t="s">
        <v>3725</v>
      </c>
      <c r="E28" s="215" t="s">
        <v>3726</v>
      </c>
      <c r="F28" s="619" t="s">
        <v>3727</v>
      </c>
    </row>
    <row r="29" spans="1:6" ht="41.65" customHeight="1">
      <c r="B29" s="608"/>
      <c r="C29" s="614"/>
      <c r="D29" s="125" t="s">
        <v>3718</v>
      </c>
      <c r="E29" s="217"/>
      <c r="F29" s="620"/>
    </row>
    <row r="30" spans="1:6" ht="51" customHeight="1" thickBot="1">
      <c r="B30" s="609"/>
      <c r="C30" s="615"/>
      <c r="D30" s="127" t="s">
        <v>3728</v>
      </c>
      <c r="E30" s="218"/>
      <c r="F30" s="621"/>
    </row>
  </sheetData>
  <mergeCells count="19">
    <mergeCell ref="B28:B30"/>
    <mergeCell ref="C28:C30"/>
    <mergeCell ref="F28:F30"/>
    <mergeCell ref="C18:C21"/>
    <mergeCell ref="F18:F21"/>
    <mergeCell ref="B22:B25"/>
    <mergeCell ref="C22:C25"/>
    <mergeCell ref="F22:F25"/>
    <mergeCell ref="B26:B27"/>
    <mergeCell ref="C26:C27"/>
    <mergeCell ref="D26:D27"/>
    <mergeCell ref="F26:F27"/>
    <mergeCell ref="B3:F3"/>
    <mergeCell ref="F5:F9"/>
    <mergeCell ref="B10:B13"/>
    <mergeCell ref="F10:F13"/>
    <mergeCell ref="B14:B17"/>
    <mergeCell ref="C14:C17"/>
    <mergeCell ref="F14:F17"/>
  </mergeCells>
  <hyperlinks>
    <hyperlink ref="B3" r:id="rId1" display="http://docinfogroupe.inetpsa.com/ead/doc/ref.00987_19_00164/v.vc/fiche" xr:uid="{BA6F5932-AC50-4725-9749-A83FC93014F8}"/>
  </hyperlinks>
  <pageMargins left="0.7" right="0.7" top="0.75" bottom="0.75" header="0.3" footer="0.3"/>
  <pageSetup paperSize="9" orientation="portrait" r:id="rId2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CD19996B4FA14AB7701B951F578A78" ma:contentTypeVersion="3" ma:contentTypeDescription="Create a new document." ma:contentTypeScope="" ma:versionID="ca31c984da9dec21edcd22731f23290c">
  <xsd:schema xmlns:xsd="http://www.w3.org/2001/XMLSchema" xmlns:xs="http://www.w3.org/2001/XMLSchema" xmlns:p="http://schemas.microsoft.com/office/2006/metadata/properties" xmlns:ns2="06e91113-fded-4871-ba12-6573c25b4893" targetNamespace="http://schemas.microsoft.com/office/2006/metadata/properties" ma:root="true" ma:fieldsID="c9f97495635505897f8a86e9343c183c" ns2:_="">
    <xsd:import namespace="06e91113-fded-4871-ba12-6573c25b489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e91113-fded-4871-ba12-6573c25b48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7FE33D0-913B-4E1A-AC8C-A74B8BD0C3C3}"/>
</file>

<file path=customXml/itemProps2.xml><?xml version="1.0" encoding="utf-8"?>
<ds:datastoreItem xmlns:ds="http://schemas.openxmlformats.org/officeDocument/2006/customXml" ds:itemID="{D8EFD865-63B8-4258-AA7C-78EB6F33FDC6}"/>
</file>

<file path=customXml/itemProps3.xml><?xml version="1.0" encoding="utf-8"?>
<ds:datastoreItem xmlns:ds="http://schemas.openxmlformats.org/officeDocument/2006/customXml" ds:itemID="{B5ED9989-0BBC-4888-9F53-44AB9A73EDAE}"/>
</file>

<file path=docMetadata/LabelInfo.xml><?xml version="1.0" encoding="utf-8"?>
<clbl:labelList xmlns:clbl="http://schemas.microsoft.com/office/2020/mipLabelMetadata">
  <clbl:label id="{2fd53d93-3f4c-4b90-b511-bd6bdbb4fba9}" enabled="1" method="Standard" siteId="{d852d5cd-724c-4128-8812-ffa5db3f850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PSA GROUP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HERVE URVOY DE PORTZAMPARC - U248836</dc:creator>
  <cp:keywords/>
  <dc:description/>
  <cp:lastModifiedBy/>
  <cp:revision/>
  <dcterms:created xsi:type="dcterms:W3CDTF">2019-07-29T11:28:45Z</dcterms:created>
  <dcterms:modified xsi:type="dcterms:W3CDTF">2026-05-18T12:01:51Z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sa_titre">
    <vt:lpwstr>Outil_Eval_CdG</vt:lpwstr>
  </property>
  <property fmtid="{D5CDD505-2E9C-101B-9397-08002B2CF9AE}" pid="3" name="psa_reference">
    <vt:lpwstr>00987_19_00164</vt:lpwstr>
  </property>
  <property fmtid="{D5CDD505-2E9C-101B-9397-08002B2CF9AE}" pid="4" name="psa_date_creation">
    <vt:lpwstr>30/07/2019 09:52</vt:lpwstr>
  </property>
  <property fmtid="{D5CDD505-2E9C-101B-9397-08002B2CF9AE}" pid="5" name="psa_date_modification">
    <vt:lpwstr>25/03/2026 16:57</vt:lpwstr>
  </property>
  <property fmtid="{D5CDD505-2E9C-101B-9397-08002B2CF9AE}" pid="6" name="psa_auteur">
    <vt:lpwstr>BOLIVAL LAURENT - U401061  </vt:lpwstr>
  </property>
  <property fmtid="{D5CDD505-2E9C-101B-9397-08002B2CF9AE}" pid="7" name="psa_emetteur">
    <vt:lpwstr>URVOY DE PORTZAMPARC HERVE - U248836  </vt:lpwstr>
  </property>
  <property fmtid="{D5CDD505-2E9C-101B-9397-08002B2CF9AE}" pid="8" name="psa_version">
    <vt:lpwstr>7.0</vt:lpwstr>
  </property>
  <property fmtid="{D5CDD505-2E9C-101B-9397-08002B2CF9AE}" pid="9" name="psa_commentaire">
    <vt:lpwstr>Outil pour l&amp;apos;évaluation du CdG d&amp;apos;un véhicule en avance de phase</vt:lpwstr>
  </property>
  <property fmtid="{D5CDD505-2E9C-101B-9397-08002B2CF9AE}" pid="10" name="psa_langue_principale">
    <vt:lpwstr>Français</vt:lpwstr>
  </property>
  <property fmtid="{D5CDD505-2E9C-101B-9397-08002B2CF9AE}" pid="11" name="psa_status">
    <vt:lpwstr>publie</vt:lpwstr>
  </property>
  <property fmtid="{D5CDD505-2E9C-101B-9397-08002B2CF9AE}" pid="12" name="psa_type_doc">
    <vt:lpwstr/>
  </property>
  <property fmtid="{D5CDD505-2E9C-101B-9397-08002B2CF9AE}" pid="13" name="psa_communaute">
    <vt:lpwstr>Métier Masse, Inertie et Composition véhicule</vt:lpwstr>
  </property>
  <property fmtid="{D5CDD505-2E9C-101B-9397-08002B2CF9AE}" pid="14" name="psa_niveau_confidentialite">
    <vt:lpwstr>C1 - Public</vt:lpwstr>
  </property>
  <property fmtid="{D5CDD505-2E9C-101B-9397-08002B2CF9AE}" pid="15" name="psa_url_fiche">
    <vt:lpwstr>https://docinfogroupe.inetpsa.com/ead/doc/ref.00987_19_00164/v.7.0</vt:lpwstr>
  </property>
  <property fmtid="{D5CDD505-2E9C-101B-9397-08002B2CF9AE}" pid="16" name="psa_url_modification">
    <vt:lpwstr>https://docinfogroupe.inetpsa.com/ead/doc/modif/ref.00987_19_00164/fiche</vt:lpwstr>
  </property>
  <property fmtid="{D5CDD505-2E9C-101B-9397-08002B2CF9AE}" pid="17" name="psa_date_publication">
    <vt:lpwstr>25/03/2026 16:57</vt:lpwstr>
  </property>
  <property fmtid="{D5CDD505-2E9C-101B-9397-08002B2CF9AE}" pid="18" name="MSIP_Label_2fd53d93-3f4c-4b90-b511-bd6bdbb4fba9_Enabled">
    <vt:lpwstr>true</vt:lpwstr>
  </property>
  <property fmtid="{D5CDD505-2E9C-101B-9397-08002B2CF9AE}" pid="19" name="MSIP_Label_2fd53d93-3f4c-4b90-b511-bd6bdbb4fba9_SetDate">
    <vt:lpwstr>2021-01-04T16:43:06Z</vt:lpwstr>
  </property>
  <property fmtid="{D5CDD505-2E9C-101B-9397-08002B2CF9AE}" pid="20" name="MSIP_Label_2fd53d93-3f4c-4b90-b511-bd6bdbb4fba9_Method">
    <vt:lpwstr>Standard</vt:lpwstr>
  </property>
  <property fmtid="{D5CDD505-2E9C-101B-9397-08002B2CF9AE}" pid="21" name="MSIP_Label_2fd53d93-3f4c-4b90-b511-bd6bdbb4fba9_Name">
    <vt:lpwstr>2fd53d93-3f4c-4b90-b511-bd6bdbb4fba9</vt:lpwstr>
  </property>
  <property fmtid="{D5CDD505-2E9C-101B-9397-08002B2CF9AE}" pid="22" name="MSIP_Label_2fd53d93-3f4c-4b90-b511-bd6bdbb4fba9_SiteId">
    <vt:lpwstr>d852d5cd-724c-4128-8812-ffa5db3f8507</vt:lpwstr>
  </property>
  <property fmtid="{D5CDD505-2E9C-101B-9397-08002B2CF9AE}" pid="23" name="MSIP_Label_2fd53d93-3f4c-4b90-b511-bd6bdbb4fba9_ActionId">
    <vt:lpwstr/>
  </property>
  <property fmtid="{D5CDD505-2E9C-101B-9397-08002B2CF9AE}" pid="24" name="MSIP_Label_2fd53d93-3f4c-4b90-b511-bd6bdbb4fba9_ContentBits">
    <vt:lpwstr>0</vt:lpwstr>
  </property>
  <property fmtid="{D5CDD505-2E9C-101B-9397-08002B2CF9AE}" pid="25" name="ContentTypeId">
    <vt:lpwstr>0x01010011CD19996B4FA14AB7701B951F578A78</vt:lpwstr>
  </property>
</Properties>
</file>